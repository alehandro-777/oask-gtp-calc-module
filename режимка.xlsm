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NODEJS\OASK-GTP-2\oask-gtp-calc-module\"/>
    </mc:Choice>
  </mc:AlternateContent>
  <bookViews>
    <workbookView xWindow="0" yWindow="0" windowWidth="23040" windowHeight="9195" activeTab="5"/>
  </bookViews>
  <sheets>
    <sheet name="Режим" sheetId="1" r:id="rId1"/>
    <sheet name="Панорама" sheetId="3" r:id="rId2"/>
    <sheet name="ПЕР" sheetId="4" r:id="rId3"/>
    <sheet name="Балланс" sheetId="5" r:id="rId4"/>
    <sheet name="Рух газу" sheetId="6" r:id="rId5"/>
    <sheet name="Objects" sheetId="9" r:id="rId6"/>
    <sheet name="Reports" sheetId="10" r:id="rId7"/>
    <sheet name="Лист4" sheetId="11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5" i="9" l="1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157" i="9" l="1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E3" i="10"/>
  <c r="I3" i="10" s="1"/>
  <c r="E4" i="10"/>
  <c r="E5" i="10"/>
  <c r="E6" i="10"/>
  <c r="E7" i="10"/>
  <c r="I7" i="10" s="1"/>
  <c r="E8" i="10"/>
  <c r="E9" i="10"/>
  <c r="E10" i="10"/>
  <c r="E11" i="10"/>
  <c r="I11" i="10" s="1"/>
  <c r="E12" i="10"/>
  <c r="E13" i="10"/>
  <c r="E14" i="10"/>
  <c r="E15" i="10"/>
  <c r="I15" i="10" s="1"/>
  <c r="E16" i="10"/>
  <c r="E17" i="10"/>
  <c r="E18" i="10"/>
  <c r="E19" i="10"/>
  <c r="I19" i="10" s="1"/>
  <c r="E20" i="10"/>
  <c r="E21" i="10"/>
  <c r="E22" i="10"/>
  <c r="E23" i="10"/>
  <c r="I23" i="10" s="1"/>
  <c r="E24" i="10"/>
  <c r="E2" i="10"/>
  <c r="I2" i="10" s="1"/>
  <c r="I5" i="10"/>
  <c r="I9" i="10"/>
  <c r="I13" i="10"/>
  <c r="I17" i="10"/>
  <c r="I21" i="10"/>
  <c r="I4" i="10"/>
  <c r="I6" i="10"/>
  <c r="I8" i="10"/>
  <c r="I10" i="10"/>
  <c r="I12" i="10"/>
  <c r="I14" i="10"/>
  <c r="I16" i="10"/>
  <c r="I18" i="10"/>
  <c r="I20" i="10"/>
  <c r="I22" i="10"/>
  <c r="I24" i="10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3" i="9" l="1"/>
  <c r="G2" i="9"/>
</calcChain>
</file>

<file path=xl/sharedStrings.xml><?xml version="1.0" encoding="utf-8"?>
<sst xmlns="http://schemas.openxmlformats.org/spreadsheetml/2006/main" count="1650" uniqueCount="843">
  <si>
    <t>Година</t>
  </si>
  <si>
    <t>ОГСУ, усього</t>
  </si>
  <si>
    <t>Q</t>
  </si>
  <si>
    <t>Q зак.</t>
  </si>
  <si>
    <t>Q відб</t>
  </si>
  <si>
    <t>ПСГ Богородчани</t>
  </si>
  <si>
    <t>ДКС Богородчани</t>
  </si>
  <si>
    <t>ПСГ</t>
  </si>
  <si>
    <t>МК-8М</t>
  </si>
  <si>
    <t>Рвх</t>
  </si>
  <si>
    <t>Рвих</t>
  </si>
  <si>
    <t>є</t>
  </si>
  <si>
    <t>ГПА</t>
  </si>
  <si>
    <t>К-сть свердловин</t>
  </si>
  <si>
    <t>с.роб</t>
  </si>
  <si>
    <t>ДКС-1</t>
  </si>
  <si>
    <t>ДКС-2</t>
  </si>
  <si>
    <t>ПСГ Опарське</t>
  </si>
  <si>
    <t>ПСГ Дашавське</t>
  </si>
  <si>
    <t>ДКС</t>
  </si>
  <si>
    <t>ПСГ Угерське</t>
  </si>
  <si>
    <t>P</t>
  </si>
  <si>
    <t>КЦ1</t>
  </si>
  <si>
    <t>ВОГ Більче-Волиця</t>
  </si>
  <si>
    <t>КЦ1А</t>
  </si>
  <si>
    <t>КЦ2</t>
  </si>
  <si>
    <t>КЦ3</t>
  </si>
  <si>
    <t>КЦ4</t>
  </si>
  <si>
    <t>ГЗП-1</t>
  </si>
  <si>
    <t>ГЗП-2</t>
  </si>
  <si>
    <t>ГЗП-3</t>
  </si>
  <si>
    <t>ГЗП-4</t>
  </si>
  <si>
    <t>ПСГ Більче-Волиця</t>
  </si>
  <si>
    <t>ПСГ Мринське</t>
  </si>
  <si>
    <t>КС-5 Бобровницька</t>
  </si>
  <si>
    <t>ДКС-Мрин</t>
  </si>
  <si>
    <t>ПСГ Солоха</t>
  </si>
  <si>
    <t>ДКС Солоха</t>
  </si>
  <si>
    <t>ПСГ Олишівка</t>
  </si>
  <si>
    <t>ДКС Олишівка</t>
  </si>
  <si>
    <t>ПСГ Пролетарське</t>
  </si>
  <si>
    <t>ДКС Пролетарка</t>
  </si>
  <si>
    <t>ПСГ Кегичівське</t>
  </si>
  <si>
    <t>ДКС Кегичівка</t>
  </si>
  <si>
    <t>ПСГ Краснопопівське</t>
  </si>
  <si>
    <t>ДКС Краснопопівка</t>
  </si>
  <si>
    <t>ххх</t>
  </si>
  <si>
    <t>ВОГ псг(в)</t>
  </si>
  <si>
    <t>ВОГ псг(з)</t>
  </si>
  <si>
    <t>ВОГ втв</t>
  </si>
  <si>
    <t>ВОГ псг</t>
  </si>
  <si>
    <t>режим (в)</t>
  </si>
  <si>
    <t>режим (з)</t>
  </si>
  <si>
    <t>ВІДБІР</t>
  </si>
  <si>
    <t>ЗАКАЧКА</t>
  </si>
  <si>
    <t>ВТВ</t>
  </si>
  <si>
    <t>година/ режим/Ask</t>
  </si>
  <si>
    <t>ДКС Червонопопівка</t>
  </si>
  <si>
    <t>ДКС Дашава</t>
  </si>
  <si>
    <t>ДКС Опари</t>
  </si>
  <si>
    <t>ДКС Угерсько</t>
  </si>
  <si>
    <t>ВОГ псг (сум)</t>
  </si>
  <si>
    <t>ВОГ 5,5</t>
  </si>
  <si>
    <t>ВОГ 7,5</t>
  </si>
  <si>
    <t>ДКС Більче-Волиця</t>
  </si>
  <si>
    <t>Стрийське ВУПЗГ</t>
  </si>
  <si>
    <t>Опарське ВУПЗГ</t>
  </si>
  <si>
    <t>Дашавське ВУПЗГ</t>
  </si>
  <si>
    <t>Богородчанське ВУПЗГ</t>
  </si>
  <si>
    <t>Пролетарське ВУПЗГ</t>
  </si>
  <si>
    <t>Мринське ВУПЗГ</t>
  </si>
  <si>
    <t>АТ Укртрансгаз</t>
  </si>
  <si>
    <t>Використання газу за місяць/ Січень 2021 р.</t>
  </si>
  <si>
    <t>Звіт використаного газу</t>
  </si>
  <si>
    <t>код
рядка</t>
  </si>
  <si>
    <t>Статті витрат та втрат газу</t>
  </si>
  <si>
    <t>КС</t>
  </si>
  <si>
    <t>Інще</t>
  </si>
  <si>
    <t>Всього по ВУПЗГ</t>
  </si>
  <si>
    <t>Разом по ВУПЗГ з початку року</t>
  </si>
  <si>
    <t>Найменування КС</t>
  </si>
  <si>
    <t>Всього по КС</t>
  </si>
  <si>
    <t>Найменування ПСГ</t>
  </si>
  <si>
    <t>Всього по ПСГ</t>
  </si>
  <si>
    <t>Паливний газ на роботу ГПА</t>
  </si>
  <si>
    <t>Паливний газ електростанцій власних потреб</t>
  </si>
  <si>
    <t>Паливний газ установок підігріву газу</t>
  </si>
  <si>
    <t>Паливний газ установок осушування газу</t>
  </si>
  <si>
    <t>Паливний газ котелень та котлів гарячого водопостачання</t>
  </si>
  <si>
    <t xml:space="preserve">   в т.ч.   з ПСГ</t>
  </si>
  <si>
    <t xml:space="preserve">               від Оператора ГРМ</t>
  </si>
  <si>
    <t xml:space="preserve">               від Оператора ГТС</t>
  </si>
  <si>
    <t xml:space="preserve">               від Укргазвидобування</t>
  </si>
  <si>
    <t>Паливний газ газофакельних установок</t>
  </si>
  <si>
    <t>Паливний газ хімлабораторій</t>
  </si>
  <si>
    <t>Випускання газу для визначення фізико-хімічних параметрів (відбір проб, замір точки роси і т.п.)</t>
  </si>
  <si>
    <t>Випускання газу при виконанні планових вогневих і газонебезпечних робіт</t>
  </si>
  <si>
    <t xml:space="preserve">   в т.ч.  при очищенні порожнини МГ очисними поршнями та виконанні внутрішньо-трубної діагностики</t>
  </si>
  <si>
    <t xml:space="preserve">              при проведенні ГВ та ВО посудин, що працюють під тиском</t>
  </si>
  <si>
    <t xml:space="preserve">              при налаштуванні, опробуванні та заміні запірної, запобіжної і регулюючої арматури</t>
  </si>
  <si>
    <t xml:space="preserve">              при заміні КВП та сезонних діафрагм приладів обліку</t>
  </si>
  <si>
    <t xml:space="preserve">              інші вогневі і газонебезпечні роботи, які не враховані вище</t>
  </si>
  <si>
    <t>Випускання газу при пусках, зупинках i змiнi режимiв роботи ГПА, КС, ПСГ та iнших об`єктiв</t>
  </si>
  <si>
    <t>Випускання газу при продуванні пилевловлюва-в, газосепарат-в, абсо/адсорберів, конденсатозбір-в, дрипів, інш. ПВТ</t>
  </si>
  <si>
    <t>Випускання газу при  роботі пневмоприводів та пневморегуляторів</t>
  </si>
  <si>
    <t>Випускання газу при заправці метанольниць, одоранту</t>
  </si>
  <si>
    <t xml:space="preserve">Випускання газу при експлуатації ПСГ (без урахування пластових втрат та витрат по ДКС) </t>
  </si>
  <si>
    <t xml:space="preserve">   в т.ч.   продування шлейфів, технологічних комунікацій</t>
  </si>
  <si>
    <t xml:space="preserve">               продування свердловин (очищення вибою, інтенсифікація тощо)</t>
  </si>
  <si>
    <t xml:space="preserve">               випускання газу зі свердловин під час капітального ремонту (глушіння, освоєння свердловин)</t>
  </si>
  <si>
    <t xml:space="preserve">               випускання газу під час газодинамічних досліджень</t>
  </si>
  <si>
    <t xml:space="preserve">               випускання газу з міжколонного простору свердловин</t>
  </si>
  <si>
    <t xml:space="preserve">               випускання газу з контрольних та законсервованих свердловин</t>
  </si>
  <si>
    <t xml:space="preserve">               випускання газу під час геофізичних досліджень свердловин</t>
  </si>
  <si>
    <t xml:space="preserve">               інші витрати, які не враховані вище</t>
  </si>
  <si>
    <t>Безповоротні пластові втрати газу під час експлуатації ПСГ</t>
  </si>
  <si>
    <t>Витікання під час експлуатації через свічки маслобаків, газовідділювачів та ущільнення вала ротора нагнітача</t>
  </si>
  <si>
    <t>Витікання під час експлуатації через сальники штоків газомотокомпресорів (ГМК)</t>
  </si>
  <si>
    <t>Витікання газу з технологічного обладнання та комунікацій, які не враховані вище</t>
  </si>
  <si>
    <t xml:space="preserve">Інші виробничо-технологічні витрати </t>
  </si>
  <si>
    <t xml:space="preserve">   в т.ч.   від Оператора ГРМ</t>
  </si>
  <si>
    <t xml:space="preserve">               інші виробничо-технологічні витрати ( їдальні )</t>
  </si>
  <si>
    <t>Втрати при відказах і пошкодженнях обладанання (об'єктів), аваріях і аварійних (вимушених) зупинах</t>
  </si>
  <si>
    <t>ВСЬОГО ПО СТАТТЯХ (1-20)</t>
  </si>
  <si>
    <t xml:space="preserve">   в т.ч.   технологічні витрати і втрати (ст.2-20)</t>
  </si>
  <si>
    <t xml:space="preserve">               що визначені тільки за приладами обліку</t>
  </si>
  <si>
    <t xml:space="preserve">Інші витрати об'єктів,  які перебувають на балансі АТ "Укртрансгаз" для провадження дадаткової діяльності Товариства ( паливний газ котелень, котлів для постачання тепла і гарячої води )        </t>
  </si>
  <si>
    <t xml:space="preserve"> в т.ч.   від Оператора ГРМ</t>
  </si>
  <si>
    <t xml:space="preserve">            від Оператора ГТС</t>
  </si>
  <si>
    <t xml:space="preserve">            від Укргазвидобування</t>
  </si>
  <si>
    <t xml:space="preserve">            інші витрати, які не враховані вище</t>
  </si>
  <si>
    <t xml:space="preserve">Паливний газ котелень для постачання тепла і гарячої води стороннім споживачам </t>
  </si>
  <si>
    <t xml:space="preserve"> в т.ч.   населенню</t>
  </si>
  <si>
    <t xml:space="preserve">            бюджетним організаціям</t>
  </si>
  <si>
    <t xml:space="preserve">            іншим підприємствам</t>
  </si>
  <si>
    <t>Всього по статтях 21, 22, 23</t>
  </si>
  <si>
    <t>ОГСУ. Добові дані/ 13.01.2021</t>
  </si>
  <si>
    <t>Рух газу</t>
  </si>
  <si>
    <t>Код рядка</t>
  </si>
  <si>
    <t>Назва</t>
  </si>
  <si>
    <t>Обсяг газу за добу, тис. м3</t>
  </si>
  <si>
    <t>Обсяг газу з початку місяця, тис. м3</t>
  </si>
  <si>
    <t>План
(заявки та ВТП)</t>
  </si>
  <si>
    <t>Факт</t>
  </si>
  <si>
    <t>Відхилення</t>
  </si>
  <si>
    <t>План 68
(заявки та ВТП)</t>
  </si>
  <si>
    <t>Факт 67</t>
  </si>
  <si>
    <t>Відхилення 89</t>
  </si>
  <si>
    <t>НАДХОДЖЕННЯ ГАЗУ, ВСЬОГО</t>
  </si>
  <si>
    <t>від Філії УМГ "Прикарпатрансгаз"</t>
  </si>
  <si>
    <t xml:space="preserve">    від Богородчанського ЛВУ МГ</t>
  </si>
  <si>
    <t xml:space="preserve">    від Бібрського ЛВУ МГ</t>
  </si>
  <si>
    <t>від Філії УМГ "Харківтрансгаз"</t>
  </si>
  <si>
    <t xml:space="preserve">    від Запорізького ЛВУ МГ</t>
  </si>
  <si>
    <t xml:space="preserve">    від Первомайського ЛВУ МГ</t>
  </si>
  <si>
    <t xml:space="preserve">    від Сєвєродонецького ЛВУ МГ</t>
  </si>
  <si>
    <t>від Філії УМГ "Київтрансгаз"</t>
  </si>
  <si>
    <t xml:space="preserve">    від Чернігівського ЛВУ МГ</t>
  </si>
  <si>
    <t xml:space="preserve">    від Диканського ЛВУ МГ</t>
  </si>
  <si>
    <t>ВТВ ОГСУ (по ПСГ)</t>
  </si>
  <si>
    <t>ЗАКАЧКА ГАЗУ В ПСГ</t>
  </si>
  <si>
    <t xml:space="preserve">    14-15 гор. Угерське ПСГ+25 св.</t>
  </si>
  <si>
    <t xml:space="preserve">    Більче-Волицько -Угерське ПСГ</t>
  </si>
  <si>
    <t xml:space="preserve">    * гор.14-15 ПСГ Б.-Вол. (25 св.)</t>
  </si>
  <si>
    <t xml:space="preserve">    * Більче-Волицьке ПСГ-25св.</t>
  </si>
  <si>
    <t xml:space="preserve">    Дашавське ПСГ</t>
  </si>
  <si>
    <t xml:space="preserve">    Опарське ПСГ</t>
  </si>
  <si>
    <t xml:space="preserve">    Богородчанське ПСГ</t>
  </si>
  <si>
    <t xml:space="preserve">    Олишівське ПСГ</t>
  </si>
  <si>
    <t xml:space="preserve">    Мринське ПСГ</t>
  </si>
  <si>
    <t xml:space="preserve">    Солохівське ПСГ</t>
  </si>
  <si>
    <t xml:space="preserve">    Пролетарське ПСГ</t>
  </si>
  <si>
    <t xml:space="preserve">    Кегичівське ПСГ</t>
  </si>
  <si>
    <t xml:space="preserve">    Краснопопівське ПСГ</t>
  </si>
  <si>
    <t>ВІДБІР ГАЗУ З ПСГ</t>
  </si>
  <si>
    <t>ТОВАРНИЙ ГАЗ, ВСЬОГО</t>
  </si>
  <si>
    <t>до Філії УМГ "Прикарпатрансгаз"</t>
  </si>
  <si>
    <t xml:space="preserve">    до Богородчанського ЛВУМГ, усього</t>
  </si>
  <si>
    <t xml:space="preserve">      Богородчанське ПСГ</t>
  </si>
  <si>
    <t xml:space="preserve">    до Бібрського ЛВУ МГ, усього</t>
  </si>
  <si>
    <t xml:space="preserve">      14-15 гор. Угерського ПСГ</t>
  </si>
  <si>
    <t xml:space="preserve">      Більче-Волиця -Угерське ПСГ</t>
  </si>
  <si>
    <t xml:space="preserve">      Дашавське ПСГ</t>
  </si>
  <si>
    <t xml:space="preserve">      Опарське ПСГ</t>
  </si>
  <si>
    <t>до Філії УМГ "Харківтрансгаз"</t>
  </si>
  <si>
    <t xml:space="preserve">    до Запорізького ЛВУ МГ</t>
  </si>
  <si>
    <t xml:space="preserve">      Пролетарське ПСГ (відбір)</t>
  </si>
  <si>
    <t xml:space="preserve">      Пролетарське ПСГ (закачка)</t>
  </si>
  <si>
    <t xml:space="preserve">    до Первомайського ЛВУ МГ</t>
  </si>
  <si>
    <t xml:space="preserve">      Кегичівське ПСГ</t>
  </si>
  <si>
    <t xml:space="preserve">    до Сєвєродонецького ЛВУ МГ</t>
  </si>
  <si>
    <t xml:space="preserve">      Червонопопівське ПСГ</t>
  </si>
  <si>
    <t>до Філії УМГ "Київтрансгаз"</t>
  </si>
  <si>
    <t xml:space="preserve">    до Чернігівського ЛВУ МГ</t>
  </si>
  <si>
    <t xml:space="preserve">      Мринське ПСГ</t>
  </si>
  <si>
    <t xml:space="preserve">      Олишівське ПСГ</t>
  </si>
  <si>
    <t xml:space="preserve">    до Диканського ЛВУ МГ</t>
  </si>
  <si>
    <t xml:space="preserve">      Солохівське ПСГ</t>
  </si>
  <si>
    <t>ВИРОБНИЧО-ТЕХНОЛОГІЧНІ ПОТРЕБИ</t>
  </si>
  <si>
    <t>РОЗБАЛАНС*  (контроль)</t>
  </si>
  <si>
    <t>ВТВ для САП</t>
  </si>
  <si>
    <t>АКТИВНИЙ ГАЗ</t>
  </si>
  <si>
    <t>в т.ч. технологічно-активний газ</t>
  </si>
  <si>
    <t>ВТВ (контроль)*</t>
  </si>
  <si>
    <t>Контроль розбалансу</t>
  </si>
  <si>
    <t xml:space="preserve">РОЗБАЛАНС* </t>
  </si>
  <si>
    <t xml:space="preserve">  Угерське ПСГ, відбір</t>
  </si>
  <si>
    <t xml:space="preserve">  Угерське ПСГ, закачка</t>
  </si>
  <si>
    <t xml:space="preserve">  Більче-Волицьке ПСГ, відбір</t>
  </si>
  <si>
    <t xml:space="preserve">  Більче-Волицьке ПСГ, закачка</t>
  </si>
  <si>
    <t xml:space="preserve">  Дашавське ПСГ, відбір</t>
  </si>
  <si>
    <t xml:space="preserve">  Дашавське ПСГ, закачка</t>
  </si>
  <si>
    <t xml:space="preserve">  Опарське ПСГ, відбір</t>
  </si>
  <si>
    <t xml:space="preserve">  Опарське ПСГ, закачка</t>
  </si>
  <si>
    <t xml:space="preserve">  Богородчанське ПСГ, відбір</t>
  </si>
  <si>
    <t xml:space="preserve">  Богородчанське ПСГ, закачка</t>
  </si>
  <si>
    <t xml:space="preserve">  Олишівське ПСГ, відбір</t>
  </si>
  <si>
    <t xml:space="preserve">  Олишівське ПСГ, закачка</t>
  </si>
  <si>
    <t xml:space="preserve">  Мринське ПСГ, відбір</t>
  </si>
  <si>
    <t xml:space="preserve">  Мринське ПСГ, закачка</t>
  </si>
  <si>
    <t xml:space="preserve">  Солохівське ПСГ, відбір</t>
  </si>
  <si>
    <t xml:space="preserve">  Солохівське ПСГ, закачка</t>
  </si>
  <si>
    <t xml:space="preserve">  Пролетарське ПСГ, відбір</t>
  </si>
  <si>
    <t xml:space="preserve">  Пролетарське ПСГ, закачка</t>
  </si>
  <si>
    <t xml:space="preserve">  Кегичівське ПСГ, відбір</t>
  </si>
  <si>
    <t xml:space="preserve">  Кегичівське ПСГ, закачка</t>
  </si>
  <si>
    <t xml:space="preserve">  Краснопопівське ПСГ, відбір</t>
  </si>
  <si>
    <t xml:space="preserve">  Краснопопівське ПСГ, закачка</t>
  </si>
  <si>
    <t>11.1</t>
  </si>
  <si>
    <t>11.0</t>
  </si>
  <si>
    <t>12.0</t>
  </si>
  <si>
    <t>12.1</t>
  </si>
  <si>
    <t>29.0</t>
  </si>
  <si>
    <t>29.1</t>
  </si>
  <si>
    <t>13.0</t>
  </si>
  <si>
    <t>13.1</t>
  </si>
  <si>
    <t>15.0</t>
  </si>
  <si>
    <t>15.1</t>
  </si>
  <si>
    <t>16.0</t>
  </si>
  <si>
    <t>16.1</t>
  </si>
  <si>
    <t>17.0</t>
  </si>
  <si>
    <t>17.1</t>
  </si>
  <si>
    <t>18.0</t>
  </si>
  <si>
    <t>18.1</t>
  </si>
  <si>
    <t>19.0</t>
  </si>
  <si>
    <t>19.1</t>
  </si>
  <si>
    <t>20.0</t>
  </si>
  <si>
    <t>20.1</t>
  </si>
  <si>
    <t>21.0</t>
  </si>
  <si>
    <t>21.1</t>
  </si>
  <si>
    <t>22.0</t>
  </si>
  <si>
    <t>22.1</t>
  </si>
  <si>
    <t>23.0</t>
  </si>
  <si>
    <t>23.1</t>
  </si>
  <si>
    <t>24.0</t>
  </si>
  <si>
    <t>24.1</t>
  </si>
  <si>
    <t>28.0</t>
  </si>
  <si>
    <t>28.1</t>
  </si>
  <si>
    <t>27.0</t>
  </si>
  <si>
    <t>27.1</t>
  </si>
  <si>
    <t>26.0</t>
  </si>
  <si>
    <t>26.1</t>
  </si>
  <si>
    <t>44.1</t>
  </si>
  <si>
    <t>44.0</t>
  </si>
  <si>
    <t>45.1</t>
  </si>
  <si>
    <t>45.0</t>
  </si>
  <si>
    <t>46.1</t>
  </si>
  <si>
    <t>46.0</t>
  </si>
  <si>
    <t>47.1</t>
  </si>
  <si>
    <t>47.0</t>
  </si>
  <si>
    <t>34.1</t>
  </si>
  <si>
    <t>34.0</t>
  </si>
  <si>
    <t>30.1</t>
  </si>
  <si>
    <t>30.0</t>
  </si>
  <si>
    <t>37.1</t>
  </si>
  <si>
    <t>37.0</t>
  </si>
  <si>
    <t>25.0</t>
  </si>
  <si>
    <t>25.1</t>
  </si>
  <si>
    <t>31.1</t>
  </si>
  <si>
    <t>31.0</t>
  </si>
  <si>
    <t>33.1</t>
  </si>
  <si>
    <t>33.0</t>
  </si>
  <si>
    <t>32.1</t>
  </si>
  <si>
    <t>32.0</t>
  </si>
  <si>
    <t>36.1</t>
  </si>
  <si>
    <t>36.0</t>
  </si>
  <si>
    <t>38.1</t>
  </si>
  <si>
    <t>38.0</t>
  </si>
  <si>
    <t>35.1</t>
  </si>
  <si>
    <t>35.0</t>
  </si>
  <si>
    <t>2.0</t>
  </si>
  <si>
    <t>2.1</t>
  </si>
  <si>
    <t>3.0</t>
  </si>
  <si>
    <t>3.1</t>
  </si>
  <si>
    <t>4.0</t>
  </si>
  <si>
    <t>4.1</t>
  </si>
  <si>
    <t>7.0</t>
  </si>
  <si>
    <t>7.1</t>
  </si>
  <si>
    <t>9.0</t>
  </si>
  <si>
    <t>9.1</t>
  </si>
  <si>
    <t>6.0</t>
  </si>
  <si>
    <t>6.1</t>
  </si>
  <si>
    <t>1.0</t>
  </si>
  <si>
    <t>1.1</t>
  </si>
  <si>
    <t>5.0</t>
  </si>
  <si>
    <t>5.1</t>
  </si>
  <si>
    <t>8.0</t>
  </si>
  <si>
    <t>8.1</t>
  </si>
  <si>
    <t>10.0</t>
  </si>
  <si>
    <t>10.1</t>
  </si>
  <si>
    <t>75.0</t>
  </si>
  <si>
    <t>77.0</t>
  </si>
  <si>
    <t>76.0</t>
  </si>
  <si>
    <t>83.0</t>
  </si>
  <si>
    <t>84.0</t>
  </si>
  <si>
    <t>85.0</t>
  </si>
  <si>
    <t>78.0</t>
  </si>
  <si>
    <t>80.0</t>
  </si>
  <si>
    <t>79.0</t>
  </si>
  <si>
    <t>81.0</t>
  </si>
  <si>
    <t>82.0</t>
  </si>
  <si>
    <t>_id</t>
  </si>
  <si>
    <t>name</t>
  </si>
  <si>
    <t>fn</t>
  </si>
  <si>
    <t>args</t>
  </si>
  <si>
    <t>format</t>
  </si>
  <si>
    <t>F1</t>
  </si>
  <si>
    <t>Кегичівське ПСГ</t>
  </si>
  <si>
    <t>units</t>
  </si>
  <si>
    <t>Богородчанське ПСГ, Q ВОГ</t>
  </si>
  <si>
    <t>Дашавське ПСГ, Q ВОГ</t>
  </si>
  <si>
    <t>Мринське ПСГ, Q ВОГ</t>
  </si>
  <si>
    <t>Олишівське ПСГ, Q ВОГ</t>
  </si>
  <si>
    <t>Солохівське ПСГ, Q ВОГ</t>
  </si>
  <si>
    <t>Опарське ПСГ, Q ВОГ</t>
  </si>
  <si>
    <t>Краснопопівське ПСГ, Q ВОГ</t>
  </si>
  <si>
    <t>Пролетарське ПСГ, Q ВОГ</t>
  </si>
  <si>
    <t>Угерське ПСГ, Q ВОГ</t>
  </si>
  <si>
    <t>Більче-Волицьке ПСГ, Q ВОГ</t>
  </si>
  <si>
    <t>ПАТ УТГ, Q ВОГ</t>
  </si>
  <si>
    <t>тис.м3</t>
  </si>
  <si>
    <t>114</t>
  </si>
  <si>
    <t>125</t>
  </si>
  <si>
    <t>123</t>
  </si>
  <si>
    <t>116</t>
  </si>
  <si>
    <t>124</t>
  </si>
  <si>
    <t>Більче-Волицьке ПСГ, Q ВОГ 7.5</t>
  </si>
  <si>
    <t>Більче-Волицьке ПСГ, Q ВОГ 5.5</t>
  </si>
  <si>
    <t>117</t>
  </si>
  <si>
    <t>118</t>
  </si>
  <si>
    <t>1;2;3;4;5;6;7;8;9;10;11;12</t>
  </si>
  <si>
    <t>1;184;1</t>
  </si>
  <si>
    <t>2;186;1</t>
  </si>
  <si>
    <t>2;186;2</t>
  </si>
  <si>
    <t>3;181;1</t>
  </si>
  <si>
    <t>4;183;1</t>
  </si>
  <si>
    <t>5;182;1</t>
  </si>
  <si>
    <t>6;185;1</t>
  </si>
  <si>
    <t>7;191;1</t>
  </si>
  <si>
    <t>8;189;1</t>
  </si>
  <si>
    <t>9;187;1</t>
  </si>
  <si>
    <t>10;190;1</t>
  </si>
  <si>
    <t>13;188;1</t>
  </si>
  <si>
    <t>15;16;17;18;19;20;21;22;23;24;25</t>
  </si>
  <si>
    <t>Богородчанське ПСГ, отбор</t>
  </si>
  <si>
    <t>Дашавське ПСГ, отбор</t>
  </si>
  <si>
    <t>Мринське ПСГ, отбор</t>
  </si>
  <si>
    <t>Олишівське ПСГ, отбор</t>
  </si>
  <si>
    <t>Солохівське ПСГ, отбор</t>
  </si>
  <si>
    <t>Опарське ПСГ, отбор</t>
  </si>
  <si>
    <t>Краснопопівське ПСГ, отбор</t>
  </si>
  <si>
    <t>Пролетарське ПСГ, отбор</t>
  </si>
  <si>
    <t>Угерське ПСГ, отбор</t>
  </si>
  <si>
    <t>Кегичівське ПСГ, отбор</t>
  </si>
  <si>
    <t>Більче-Волицьке ПСГ, отбор</t>
  </si>
  <si>
    <t>ПАТ УТГ, отбор</t>
  </si>
  <si>
    <t>1;184;2</t>
  </si>
  <si>
    <t>3;181;2</t>
  </si>
  <si>
    <t>4;183;2</t>
  </si>
  <si>
    <t>5;182;2</t>
  </si>
  <si>
    <t>6;185;2</t>
  </si>
  <si>
    <t>7;191;2</t>
  </si>
  <si>
    <t>8;189;2</t>
  </si>
  <si>
    <t>9;187;2</t>
  </si>
  <si>
    <t>10;190;2</t>
  </si>
  <si>
    <t>13;188;2</t>
  </si>
  <si>
    <t>27;28;29;30;31;32;33;34;35;36;37</t>
  </si>
  <si>
    <t>Богородчанське ПСГ, закачка</t>
  </si>
  <si>
    <t>Дашавське ПСГ, закачка</t>
  </si>
  <si>
    <t>Мринське ПСГ, закачка</t>
  </si>
  <si>
    <t>Олишівське ПСГ, закачка</t>
  </si>
  <si>
    <t>Солохівське ПСГ, закачка</t>
  </si>
  <si>
    <t>Опарське ПСГ, закачка</t>
  </si>
  <si>
    <t>Краснопопівське ПСГ, закачка</t>
  </si>
  <si>
    <t>Пролетарське ПСГ, закачка</t>
  </si>
  <si>
    <t>Угерське ПСГ, закачка</t>
  </si>
  <si>
    <t>Кегичівське ПСГ, закачка</t>
  </si>
  <si>
    <t>Більче-Волицьке ПСГ, закачка</t>
  </si>
  <si>
    <t>ПАТ УТГ, закачка</t>
  </si>
  <si>
    <t>F2</t>
  </si>
  <si>
    <t>F3</t>
  </si>
  <si>
    <t>Більче-Волицьке ПСГ, ГЗП-1 Q ВОГ</t>
  </si>
  <si>
    <t>Більче-Волицьке ПСГ, ГЗП-2 Q ВОГ</t>
  </si>
  <si>
    <t>Більче-Волицьке ПСГ, ГЗП-3 Q ВОГ</t>
  </si>
  <si>
    <t>Більче-Волицьке ПСГ, ГЗП-4 Q ВОГ</t>
  </si>
  <si>
    <t>Більче-Волицьке ПСГ, ГЗП-1 Q ВОГ закачка</t>
  </si>
  <si>
    <t>Більче-Волицьке ПСГ, ГЗП-2 Q ВОГ закачка</t>
  </si>
  <si>
    <t>Більче-Волицьке ПСГ, ГЗП-3 Q ВОГ закачка</t>
  </si>
  <si>
    <t>Більче-Волицьке ПСГ, ГЗП-4 Q ВОГ закачка</t>
  </si>
  <si>
    <t>Більче-Волицьке ПСГ, ГЗП-1 Q ВОГ отбор</t>
  </si>
  <si>
    <t>Більче-Волицьке ПСГ, ГЗП-2 Q ВОГ отбор</t>
  </si>
  <si>
    <t>Більче-Волицьке ПСГ, ГЗП-3 Q ВОГ отбор</t>
  </si>
  <si>
    <t>Більче-Волицьке ПСГ, ГЗП-4 Q ВОГ отбор</t>
  </si>
  <si>
    <t>Більче-Волицьке ПСГ, Pвих ГЗП-1</t>
  </si>
  <si>
    <t>Більче-Волицьке ПСГ, Pвих ГЗП-2</t>
  </si>
  <si>
    <t>Більче-Волицьке ПСГ, Pвих ГЗП-3</t>
  </si>
  <si>
    <t>Більче-Волицьке ПСГ, Pвих ГЗП-4</t>
  </si>
  <si>
    <t>119</t>
  </si>
  <si>
    <t>120</t>
  </si>
  <si>
    <t>121</t>
  </si>
  <si>
    <t>122</t>
  </si>
  <si>
    <t>174</t>
  </si>
  <si>
    <t>175</t>
  </si>
  <si>
    <t>176</t>
  </si>
  <si>
    <t>177</t>
  </si>
  <si>
    <t>кгс/см2</t>
  </si>
  <si>
    <t>од</t>
  </si>
  <si>
    <t>Мринське ВУПЗГ.ПСГ Мринське.КС-5 Бобровницька.Рвих КС</t>
  </si>
  <si>
    <t>Мринське ВУПЗГ.ПСГ Мринське.ДКС Мрин.Рвих КС</t>
  </si>
  <si>
    <t>Мринське ВУПЗГ.ПСГ Солоха.ДКС Солоха.Рвих КС</t>
  </si>
  <si>
    <t>Мринське ВУПЗГ.ПСГ Олишівка.ДКС Олишівка.Рвих КС</t>
  </si>
  <si>
    <t>Богородчанське ВУПЗГ.ПСГ Богородчани.ДКС Богородчани.Рвих КС</t>
  </si>
  <si>
    <t>Опарське ВУПЗГ.ПСГ Опарське.ДКС-1 Опари.Рвих КС</t>
  </si>
  <si>
    <t>Дашавське ВУПЗГ.ПСГ Дашавське.ДКС Дашава.Рвих КС</t>
  </si>
  <si>
    <t>Стрийське ВУПЗГ.ПСГ Угерське.ДКС Угерське.Рвих КС</t>
  </si>
  <si>
    <t>Стрийське ВУПЗГ.ПСГ Більче-Волиця.КЦ-1 Більче-Волиця.Рвих КС</t>
  </si>
  <si>
    <t>Стрийське ВУПЗГ.ПСГ Більче-Волиця.КЦ-1А Більче-Волиця.Рвих КС</t>
  </si>
  <si>
    <t>Стрийське ВУПЗГ.ПСГ Більче-Волиця.КЦ-2 Більче-Волиця.Рвих КС</t>
  </si>
  <si>
    <t>Стрийське ВУПЗГ.ПСГ Більче-Волиця.КЦ-3 Більче-Волиця.Рвих КС</t>
  </si>
  <si>
    <t>Стрийське ВУПЗГ.ПСГ Більче-Волиця.КЦ-4 Більче-Волиця.Рвих КС</t>
  </si>
  <si>
    <t>Пролетарське ВУПЗГ.ПСГ Пролетарське.ДКС Пролетарка.Рвих КС</t>
  </si>
  <si>
    <t>Пролетарське ВУПЗГ.ПСГ Кегичівське.ДКС Кегичівка.Рвих КС</t>
  </si>
  <si>
    <t>Пролетарське ВУПЗГ.ПСГ Краснопопівське.ДКС Краснопопіка.Рвих КС</t>
  </si>
  <si>
    <t>Мринське ВУПЗГ.ПСГ Мринське.КС-5 Бобровницька.Рвх КС</t>
  </si>
  <si>
    <t>Мринське ВУПЗГ.ПСГ Мринське.ДКС Мрин.Рвх КС</t>
  </si>
  <si>
    <t>Мринське ВУПЗГ.ПСГ Солоха.ДКС Солоха.Рвх КС</t>
  </si>
  <si>
    <t>Мринське ВУПЗГ.ПСГ Олишівка.ДКС Олишівка.Рвх КС</t>
  </si>
  <si>
    <t>Богородчанське ВУПЗГ.ПСГ Богородчани.ДКС Богородчани.Рвх КС</t>
  </si>
  <si>
    <t>Опарське ВУПЗГ.ПСГ Опарське.ДКС-1 Опари.Рвх КС</t>
  </si>
  <si>
    <t>Дашавське ВУПЗГ.ПСГ Дашавське.ДКС Дашава.Рвх КС</t>
  </si>
  <si>
    <t>Стрийське ВУПЗГ.ПСГ Угерське.ДКС Угерське.Рвх КС</t>
  </si>
  <si>
    <t>Стрийське ВУПЗГ.ПСГ Більче-Волиця.КЦ-1 Більче-Волиця.Рвх КС</t>
  </si>
  <si>
    <t>Стрийське ВУПЗГ.ПСГ Більче-Волиця.КЦ-1А Більче-Волиця.Рвх КС</t>
  </si>
  <si>
    <t>Стрийське ВУПЗГ.ПСГ Більче-Волиця.КЦ-2 Більче-Волиця.Рвх КС</t>
  </si>
  <si>
    <t>Стрийське ВУПЗГ.ПСГ Більче-Волиця.КЦ-3 Більче-Волиця.Рвх КС</t>
  </si>
  <si>
    <t>Стрийське ВУПЗГ.ПСГ Більче-Волиця.КЦ-4 Більче-Волиця.Рвх КС</t>
  </si>
  <si>
    <t>Пролетарське ВУПЗГ.ПСГ Пролетарське.ДКС Пролетарка.Рвх КС</t>
  </si>
  <si>
    <t>Пролетарське ВУПЗГ.ПСГ Кегичівське.ДКС Кегичівка.Рвх КС</t>
  </si>
  <si>
    <t>Пролетарське ВУПЗГ.ПСГ Краснопопівське.ДКС Краснопопіка.Рвх КС</t>
  </si>
  <si>
    <t>Мринське ВУПЗГ.ПСГ Мринське.К-сть свердловин</t>
  </si>
  <si>
    <t>Мринське ВУПЗГ.ПСГ Солоха.К-сть свердловин</t>
  </si>
  <si>
    <t>Мринське ВУПЗГ.ПСГ Олишівка.К-сть свердловин</t>
  </si>
  <si>
    <t>Богородчанське ВУПЗГ.ПСГ Богородчани.К-сть свердловин</t>
  </si>
  <si>
    <t>Опарське ВУПЗГ.ПСГ Опарське.К-сть свердловин</t>
  </si>
  <si>
    <t>Дашавське ВУПЗГ.ПСГ Дашавське.К-сть свердловин</t>
  </si>
  <si>
    <t>Стрийське ВУПЗГ.ПСГ Угерське.К-сть свердловин</t>
  </si>
  <si>
    <t>Стрийське ВУПЗГ.ПСГ Більче-Волиця.ГЗП-1.К-сть свердловин</t>
  </si>
  <si>
    <t>Стрийське ВУПЗГ.ПСГ Більче-Волиця.ГЗП-2.К-сть свердловин</t>
  </si>
  <si>
    <t>Стрийське ВУПЗГ.ПСГ Більче-Волиця.ГЗП-3.К-сть свердловин</t>
  </si>
  <si>
    <t>Стрийське ВУПЗГ.ПСГ Більче-Волиця.ГЗП-4.К-сть свердловин</t>
  </si>
  <si>
    <t>Пролетарське ВУПЗГ.ПСГ Пролетарське.К-сть свердловин</t>
  </si>
  <si>
    <t>Пролетарське ВУПЗГ.ПСГ Кегичівське.К-сть свердловин</t>
  </si>
  <si>
    <t>Пролетарське ВУПЗГ.ПСГ Краснопопівське.К-сть свердловин</t>
  </si>
  <si>
    <t>Мринське ВУПЗГ.ПСГ Мринське.Стан ПСГ</t>
  </si>
  <si>
    <t>Мринське ВУПЗГ.ПСГ Солоха.Стан ПСГ</t>
  </si>
  <si>
    <t>Мринське ВУПЗГ.ПСГ Олишівка.Стан ПСГ</t>
  </si>
  <si>
    <t>Богородчанське ВУПЗГ.ПСГ Богородчани.Стан ПСГ</t>
  </si>
  <si>
    <t>Опарське ВУПЗГ.ПСГ Опарське.Стан ПСГ</t>
  </si>
  <si>
    <t>Дашавське ВУПЗГ.ПСГ Дашавське.Стан ПСГ</t>
  </si>
  <si>
    <t>Стрийське ВУПЗГ.ПСГ Угерське.Стан ПСГ</t>
  </si>
  <si>
    <t>Стрийське ВУПЗГ.ПСГ Більче-Волиця.Стан ПСГ</t>
  </si>
  <si>
    <t>Пролетарське ВУПЗГ.ПСГ Пролетарське.Стан ПСГ</t>
  </si>
  <si>
    <t>Пролетарське ВУПЗГ.ПСГ Кегичівське.Стан ПСГ</t>
  </si>
  <si>
    <t>Пролетарське ВУПЗГ.ПСГ Краснопопівське.Стан ПСГ</t>
  </si>
  <si>
    <t>Мринське ВУПЗГ.ПСГ Мринське.КС-5 Бобровницька.N ГПА в роботі</t>
  </si>
  <si>
    <t>Мринське ВУПЗГ.ПСГ Мринське.ДКС Мрин.N ГПА в роботі</t>
  </si>
  <si>
    <t>Мринське ВУПЗГ.ПСГ Солоха.ДКС Солоха.N ГПА в роботі</t>
  </si>
  <si>
    <t>Мринське ВУПЗГ.ПСГ Олишівка.ДКС Олишівка.N ГПА в роботі</t>
  </si>
  <si>
    <t>Богородчанське ВУПЗГ.ПСГ Богородчани.ДКС Богородчани.N ГПА в роботі</t>
  </si>
  <si>
    <t>Опарське ВУПЗГ.ПСГ Опарське.ДКС-1 Опари.N ГПА в роботі</t>
  </si>
  <si>
    <t>Опарське ВУПЗГ.ПСГ Опарське.ДКС-2 Опари.N ГПА в роботі</t>
  </si>
  <si>
    <t>Дашавське ВУПЗГ.ПСГ Дашавське.ДКС Дашава.N ГПА в роботі</t>
  </si>
  <si>
    <t>Стрийське ВУПЗГ.ПСГ Угерське.ДКС Угерське.N ГПА в роботі</t>
  </si>
  <si>
    <t>Стрийське ВУПЗГ.ПСГ Більче-Волиця.КЦ-1 Більче-Волиця.N ГПА в роботі</t>
  </si>
  <si>
    <t>Стрийське ВУПЗГ.ПСГ Більче-Волиця.КЦ-1А Більче-Волиця.N ГПА в роботі</t>
  </si>
  <si>
    <t>Стрийське ВУПЗГ.ПСГ Більче-Волиця.КЦ-2 Більче-Волиця.N ГПА в роботі</t>
  </si>
  <si>
    <t>Стрийське ВУПЗГ.ПСГ Більче-Волиця.КЦ-3 Більче-Волиця.N ГПА в роботі</t>
  </si>
  <si>
    <t>Стрийське ВУПЗГ.ПСГ Більче-Волиця.КЦ-4 Більче-Волиця.N ГПА в роботі</t>
  </si>
  <si>
    <t>Пролетарське ВУПЗГ.ПСГ Пролетарське.ДКС Пролетарка.N ГПА в роботі</t>
  </si>
  <si>
    <t>Пролетарське ВУПЗГ.ПСГ Кегичівське.ДКС Кегичівка.N ГПА в роботі</t>
  </si>
  <si>
    <t>Пролетарське ВУПЗГ.ПСГ Краснопопівське.ДКС Краснопопіка.N ГПА в роботі</t>
  </si>
  <si>
    <t>Мринське ВУПЗГ.ПСГ Мринське.Qвтв ВОГ</t>
  </si>
  <si>
    <t>Мринське ВУПЗГ.ПСГ Солоха.Qвтв ВОГ</t>
  </si>
  <si>
    <t>Мринське ВУПЗГ.ПСГ Олишівка.Qвтв ВОГ</t>
  </si>
  <si>
    <t>Богородчанське ВУПЗГ.ПСГ Богородчани.Qвтв ВОГ</t>
  </si>
  <si>
    <t>Опарське ВУПЗГ.ПСГ Опарське.Qвтв ВОГ</t>
  </si>
  <si>
    <t>Дашавське ВУПЗГ.ПСГ Дашавське.Qвтв ВОГ</t>
  </si>
  <si>
    <t>Стрийське ВУПЗГ.ПСГ Угерське.Qвтв ВОГ</t>
  </si>
  <si>
    <t>Стрийське ВУПЗГ.ПСГ Більче-Волиця.Qвтв ВОГ</t>
  </si>
  <si>
    <t>Пролетарське ВУПЗГ.ПСГ Пролетарське.Qвтв ВОГ</t>
  </si>
  <si>
    <t>Пролетарське ВУПЗГ.ПСГ Кегичівське.Qвтв ВОГ</t>
  </si>
  <si>
    <t>Пролетарське ВУПЗГ.ПСГ Краснопопівське.Qвтв ВОГ</t>
  </si>
  <si>
    <t>138</t>
  </si>
  <si>
    <t>165</t>
  </si>
  <si>
    <t>137</t>
  </si>
  <si>
    <t>F4</t>
  </si>
  <si>
    <t>Мринське ВУПЗГ.ПСГ Мринське.КС-5 Бобровницька.ст стиснення</t>
  </si>
  <si>
    <t>Мринське ВУПЗГ.ПСГ Мринське.ДКС Мрин.ст стиснення</t>
  </si>
  <si>
    <t>Мринське ВУПЗГ.ПСГ Солоха.ДКС Солоха.ст стиснення</t>
  </si>
  <si>
    <t>Мринське ВУПЗГ.ПСГ Олишівка.ДКС Олишівка.ст стиснення</t>
  </si>
  <si>
    <t>Богородчанське ВУПЗГ.ПСГ Богородчани.ДКС Богородчани.ст стиснення</t>
  </si>
  <si>
    <t>Опарське ВУПЗГ.ПСГ Опарське.ДКС-1 Опари.ст стиснення</t>
  </si>
  <si>
    <t>Дашавське ВУПЗГ.ПСГ Дашавське.ДКС Дашава.ст стиснення</t>
  </si>
  <si>
    <t>Стрийське ВУПЗГ.ПСГ Угерське.ДКС Угерське.ст стиснення</t>
  </si>
  <si>
    <t>Стрийське ВУПЗГ.ПСГ Більче-Волиця.КЦ-1 Більче-Волиця.ст стиснення</t>
  </si>
  <si>
    <t>Стрийське ВУПЗГ.ПСГ Більче-Волиця.КЦ-1А Більче-Волиця.ст стиснення</t>
  </si>
  <si>
    <t>Стрийське ВУПЗГ.ПСГ Більче-Волиця.КЦ-2 Більче-Волиця.ст стиснення</t>
  </si>
  <si>
    <t>Стрийське ВУПЗГ.ПСГ Більче-Волиця.КЦ-3 Більче-Волиця.ст стиснення</t>
  </si>
  <si>
    <t>Стрийське ВУПЗГ.ПСГ Більче-Волиця.КЦ-4 Більче-Волиця.ст стиснення</t>
  </si>
  <si>
    <t>Пролетарське ВУПЗГ.ПСГ Пролетарське.ДКС Пролетарка.ст стиснення</t>
  </si>
  <si>
    <t>Пролетарське ВУПЗГ.ПСГ Кегичівське.ДКС Кегичівка.ст стиснення</t>
  </si>
  <si>
    <t>Пролетарське ВУПЗГ.ПСГ Краснопопівське.ДКС Краснопопіка.ст стиснення</t>
  </si>
  <si>
    <t>55;71</t>
  </si>
  <si>
    <t>56;72</t>
  </si>
  <si>
    <t>57;73</t>
  </si>
  <si>
    <t>58;74</t>
  </si>
  <si>
    <t>59;75</t>
  </si>
  <si>
    <t>60;76</t>
  </si>
  <si>
    <t>61;77</t>
  </si>
  <si>
    <t>62;78</t>
  </si>
  <si>
    <t>63;79</t>
  </si>
  <si>
    <t>64;80</t>
  </si>
  <si>
    <t>65;81</t>
  </si>
  <si>
    <t>66;82</t>
  </si>
  <si>
    <t>67;83</t>
  </si>
  <si>
    <t>68;84</t>
  </si>
  <si>
    <t>69;85</t>
  </si>
  <si>
    <t>70;86</t>
  </si>
  <si>
    <t>РОЗБАЛАНС*</t>
  </si>
  <si>
    <t>row</t>
  </si>
  <si>
    <t>id</t>
  </si>
  <si>
    <t>F102</t>
  </si>
  <si>
    <t>F103</t>
  </si>
  <si>
    <t>2;Богородчанське ПСГ, отбор;15</t>
  </si>
  <si>
    <t>3;Богородчанське ПСГ, закачка;27</t>
  </si>
  <si>
    <t>4;Дашавське ПСГ, отбор;16</t>
  </si>
  <si>
    <t>5;Дашавське ПСГ, закачка;28</t>
  </si>
  <si>
    <t>6;Опарське ПСГ, отбор;20</t>
  </si>
  <si>
    <t>7;Опарське ПСГ, закачка;32</t>
  </si>
  <si>
    <t>8;Угерське ПСГ, отбор;23</t>
  </si>
  <si>
    <t>9;Угерське ПСГ, закачка;35</t>
  </si>
  <si>
    <t>10;Більче-Волицьке ПСГ, отбор;25</t>
  </si>
  <si>
    <t>11;Більче-Волицьке ПСГ, закачка;37</t>
  </si>
  <si>
    <t>12;Краснопопівське ПСГ, отбор;21</t>
  </si>
  <si>
    <t>13;Краснопопівське ПСГ, закачка;33</t>
  </si>
  <si>
    <t>14;Пролетарське ПСГ, отбор;22</t>
  </si>
  <si>
    <t>15;Пролетарське ПСГ, закачка;34</t>
  </si>
  <si>
    <t>16;Кегичівське ПСГ, отбор;24</t>
  </si>
  <si>
    <t>17;Кегичівське ПСГ, закачка;36</t>
  </si>
  <si>
    <t>18;Мринське ПСГ, отбор;17</t>
  </si>
  <si>
    <t>19;Мринське ПСГ, закачка;29</t>
  </si>
  <si>
    <t>20;Олишівське ПСГ, отбор;18</t>
  </si>
  <si>
    <t>21;Олишівське ПСГ, закачка;30</t>
  </si>
  <si>
    <t>22;Солохівське ПСГ, отбор;19</t>
  </si>
  <si>
    <t>23;Солохівське ПСГ, закачка;31</t>
  </si>
  <si>
    <t>F5_1</t>
  </si>
  <si>
    <t>F5_2</t>
  </si>
  <si>
    <t>1;РОЗБАЛАНС*;157;158;159;160;161;162;163;164;165;166;167;168;169;170;171;172;173;174;175;176;177;178</t>
  </si>
  <si>
    <t>ПСГ Солоха.Р ВОГ</t>
  </si>
  <si>
    <t>ПСГ Олишівка.Р ВОГ</t>
  </si>
  <si>
    <t>ПСГ Богородчани.Р ВОГ</t>
  </si>
  <si>
    <t>ПСГ Опарське.Р ВОГ</t>
  </si>
  <si>
    <t>ПСГ Дашавське.Р ВОГ</t>
  </si>
  <si>
    <t>ПСГ Угерське.Р ВОГ</t>
  </si>
  <si>
    <t>ПСГ Пролетарське.Р ВОГ</t>
  </si>
  <si>
    <t>ПСГ Кегичівське.Р ВОГ</t>
  </si>
  <si>
    <t>ПСГ Краснопопівське.Р ВОГ</t>
  </si>
  <si>
    <t>ПСГ Мрин.Р ВОГ</t>
  </si>
  <si>
    <t>ПСГ Більче-Волиця.Р ВОГ 5.5</t>
  </si>
  <si>
    <t>ПСГ Більче-Волиця.Р ВОГ 7.5</t>
  </si>
  <si>
    <t>Опарське ВУПЗГ.ПСГ Опарське.ДКС-2 Опари.Рвх КС</t>
  </si>
  <si>
    <t>Опарське ВУПЗГ.ПСГ Опарське.ДКС-2 Опари.ст стиснення</t>
  </si>
  <si>
    <t>Опарське ВУПЗГ.ПСГ Опарське.ДКС-2 Опари.Рвих КС</t>
  </si>
  <si>
    <t>110;111;112;113</t>
  </si>
  <si>
    <t>Стрийське ВУПЗГ.ПСГ Більче-Волиця.К-сть свердловин</t>
  </si>
  <si>
    <t>ПАТ УТГ .Qвтв ВОГ</t>
  </si>
  <si>
    <t>145;146;147;148;149;150;151;152;153;154;155</t>
  </si>
  <si>
    <t>195.0</t>
  </si>
  <si>
    <t>145.0</t>
  </si>
  <si>
    <t>147.0</t>
  </si>
  <si>
    <t>146.0</t>
  </si>
  <si>
    <t>153.0</t>
  </si>
  <si>
    <t>154.0</t>
  </si>
  <si>
    <t>155.0</t>
  </si>
  <si>
    <t>148.0</t>
  </si>
  <si>
    <t>150.0</t>
  </si>
  <si>
    <t>149.0</t>
  </si>
  <si>
    <t>151.0</t>
  </si>
  <si>
    <t>152.0</t>
  </si>
  <si>
    <t>195.1</t>
  </si>
  <si>
    <t>145.1</t>
  </si>
  <si>
    <t>147.1</t>
  </si>
  <si>
    <t>146.1</t>
  </si>
  <si>
    <t>153.1</t>
  </si>
  <si>
    <t>154.1</t>
  </si>
  <si>
    <t>155.1</t>
  </si>
  <si>
    <t>148.1</t>
  </si>
  <si>
    <t>150.1</t>
  </si>
  <si>
    <t>149.1</t>
  </si>
  <si>
    <t>151.1</t>
  </si>
  <si>
    <t>152.1</t>
  </si>
  <si>
    <t>109</t>
  </si>
  <si>
    <t>103</t>
  </si>
  <si>
    <t>104</t>
  </si>
  <si>
    <t>101</t>
  </si>
  <si>
    <t>102</t>
  </si>
  <si>
    <t>59.0</t>
  </si>
  <si>
    <t>91.0</t>
  </si>
  <si>
    <t>132.0</t>
  </si>
  <si>
    <t>106.0</t>
  </si>
  <si>
    <t>60.0</t>
  </si>
  <si>
    <t>92.0</t>
  </si>
  <si>
    <t>133.0</t>
  </si>
  <si>
    <t>191.0</t>
  </si>
  <si>
    <t>192.0</t>
  </si>
  <si>
    <t>193.0</t>
  </si>
  <si>
    <t>134.0</t>
  </si>
  <si>
    <t>107.0</t>
  </si>
  <si>
    <t>61.0</t>
  </si>
  <si>
    <t>93.0</t>
  </si>
  <si>
    <t>135.0</t>
  </si>
  <si>
    <t>108.0</t>
  </si>
  <si>
    <t>62.0</t>
  </si>
  <si>
    <t>94.0</t>
  </si>
  <si>
    <t>136.0</t>
  </si>
  <si>
    <t>109.0</t>
  </si>
  <si>
    <t>189.0</t>
  </si>
  <si>
    <t>190.0</t>
  </si>
  <si>
    <t>63.0</t>
  </si>
  <si>
    <t>95.0</t>
  </si>
  <si>
    <t>137.0</t>
  </si>
  <si>
    <t>64.0</t>
  </si>
  <si>
    <t>96.0</t>
  </si>
  <si>
    <t>138.0</t>
  </si>
  <si>
    <t>65.0</t>
  </si>
  <si>
    <t>97.0</t>
  </si>
  <si>
    <t>139.0</t>
  </si>
  <si>
    <t>66.0</t>
  </si>
  <si>
    <t>98.0</t>
  </si>
  <si>
    <t>140.0</t>
  </si>
  <si>
    <t>67.0</t>
  </si>
  <si>
    <t>99.0</t>
  </si>
  <si>
    <t>141.0</t>
  </si>
  <si>
    <t>194.0</t>
  </si>
  <si>
    <t>51.0</t>
  </si>
  <si>
    <t>43.0</t>
  </si>
  <si>
    <t>110.0</t>
  </si>
  <si>
    <t>52.0</t>
  </si>
  <si>
    <t>48.0</t>
  </si>
  <si>
    <t>111.0</t>
  </si>
  <si>
    <t>53.0</t>
  </si>
  <si>
    <t>49.0</t>
  </si>
  <si>
    <t>112.0</t>
  </si>
  <si>
    <t>54.0</t>
  </si>
  <si>
    <t>50.0</t>
  </si>
  <si>
    <t>113.0</t>
  </si>
  <si>
    <t>71.0</t>
  </si>
  <si>
    <t>55.0</t>
  </si>
  <si>
    <t>87.0</t>
  </si>
  <si>
    <t>128.0</t>
  </si>
  <si>
    <t>72.0</t>
  </si>
  <si>
    <t>56.0</t>
  </si>
  <si>
    <t>88.0</t>
  </si>
  <si>
    <t>129.0</t>
  </si>
  <si>
    <t>103.0</t>
  </si>
  <si>
    <t>73.0</t>
  </si>
  <si>
    <t>57.0</t>
  </si>
  <si>
    <t>89.0</t>
  </si>
  <si>
    <t>130.0</t>
  </si>
  <si>
    <t>104.0</t>
  </si>
  <si>
    <t>74.0</t>
  </si>
  <si>
    <t>58.0</t>
  </si>
  <si>
    <t>90.0</t>
  </si>
  <si>
    <t>131.0</t>
  </si>
  <si>
    <t>105.0</t>
  </si>
  <si>
    <t>68.0</t>
  </si>
  <si>
    <t>100.0</t>
  </si>
  <si>
    <t>142.0</t>
  </si>
  <si>
    <t>114.0</t>
  </si>
  <si>
    <t>69.0</t>
  </si>
  <si>
    <t>101.0</t>
  </si>
  <si>
    <t>143.0</t>
  </si>
  <si>
    <t>115.0</t>
  </si>
  <si>
    <t>86.0</t>
  </si>
  <si>
    <t>70.0</t>
  </si>
  <si>
    <t>102.0</t>
  </si>
  <si>
    <t>144.0</t>
  </si>
  <si>
    <t>116.0</t>
  </si>
  <si>
    <t>43.1</t>
  </si>
  <si>
    <t>48.1</t>
  </si>
  <si>
    <t>49.1</t>
  </si>
  <si>
    <t>50.1</t>
  </si>
  <si>
    <t>75.2</t>
  </si>
  <si>
    <t>59.2</t>
  </si>
  <si>
    <t>91.2</t>
  </si>
  <si>
    <t>76.2</t>
  </si>
  <si>
    <t>60.2</t>
  </si>
  <si>
    <t>92.2</t>
  </si>
  <si>
    <t>191.2</t>
  </si>
  <si>
    <t>192.2</t>
  </si>
  <si>
    <t>193.2</t>
  </si>
  <si>
    <t>77.2</t>
  </si>
  <si>
    <t>61.2</t>
  </si>
  <si>
    <t>93.2</t>
  </si>
  <si>
    <t>78.2</t>
  </si>
  <si>
    <t>62.2</t>
  </si>
  <si>
    <t>94.2</t>
  </si>
  <si>
    <t>79.2</t>
  </si>
  <si>
    <t>63.2</t>
  </si>
  <si>
    <t>95.2</t>
  </si>
  <si>
    <t>80.2</t>
  </si>
  <si>
    <t>64.2</t>
  </si>
  <si>
    <t>96.2</t>
  </si>
  <si>
    <t>81.2</t>
  </si>
  <si>
    <t>65.2</t>
  </si>
  <si>
    <t>97.2</t>
  </si>
  <si>
    <t>82.2</t>
  </si>
  <si>
    <t>66.2</t>
  </si>
  <si>
    <t>98.2</t>
  </si>
  <si>
    <t>83.2</t>
  </si>
  <si>
    <t>67.2</t>
  </si>
  <si>
    <t>99.2</t>
  </si>
  <si>
    <t>71.2</t>
  </si>
  <si>
    <t>55.2</t>
  </si>
  <si>
    <t>87.2</t>
  </si>
  <si>
    <t>72.2</t>
  </si>
  <si>
    <t>56.2</t>
  </si>
  <si>
    <t>88.2</t>
  </si>
  <si>
    <t>73.2</t>
  </si>
  <si>
    <t>57.2</t>
  </si>
  <si>
    <t>89.2</t>
  </si>
  <si>
    <t>74.2</t>
  </si>
  <si>
    <t>58.2</t>
  </si>
  <si>
    <t>90.2</t>
  </si>
  <si>
    <t>84.2</t>
  </si>
  <si>
    <t>68.2</t>
  </si>
  <si>
    <t>100.2</t>
  </si>
  <si>
    <t>86.2</t>
  </si>
  <si>
    <t>70.2</t>
  </si>
  <si>
    <t>102.2</t>
  </si>
  <si>
    <t>85.2</t>
  </si>
  <si>
    <t>69.2</t>
  </si>
  <si>
    <t>101.2</t>
  </si>
  <si>
    <t>132.5</t>
  </si>
  <si>
    <t>133.5</t>
  </si>
  <si>
    <t>106.5</t>
  </si>
  <si>
    <t>134.5</t>
  </si>
  <si>
    <t>107.5</t>
  </si>
  <si>
    <t>135.5</t>
  </si>
  <si>
    <t>108.5</t>
  </si>
  <si>
    <t>136.5</t>
  </si>
  <si>
    <t>109.5</t>
  </si>
  <si>
    <t>138.5</t>
  </si>
  <si>
    <t>139.5</t>
  </si>
  <si>
    <t>140.5</t>
  </si>
  <si>
    <t>141.5</t>
  </si>
  <si>
    <t>194.5</t>
  </si>
  <si>
    <t>110.5</t>
  </si>
  <si>
    <t>111.5</t>
  </si>
  <si>
    <t>112.5</t>
  </si>
  <si>
    <t>113.5</t>
  </si>
  <si>
    <t>103.5</t>
  </si>
  <si>
    <t>129.5</t>
  </si>
  <si>
    <t>128.5</t>
  </si>
  <si>
    <t>130.5</t>
  </si>
  <si>
    <t>104.5</t>
  </si>
  <si>
    <t>131.5</t>
  </si>
  <si>
    <t>105.5</t>
  </si>
  <si>
    <t>142.5</t>
  </si>
  <si>
    <t>116.5</t>
  </si>
  <si>
    <t>144.5</t>
  </si>
  <si>
    <t>115.5</t>
  </si>
  <si>
    <t>143.5</t>
  </si>
  <si>
    <t>114.5</t>
  </si>
  <si>
    <t>189.2</t>
  </si>
  <si>
    <t>190.2</t>
  </si>
  <si>
    <t>137.5</t>
  </si>
  <si>
    <t>51.2</t>
  </si>
  <si>
    <t>52.2</t>
  </si>
  <si>
    <t>53.2</t>
  </si>
  <si>
    <t>54.2</t>
  </si>
  <si>
    <t>;38.0;26.0;75.0;59.0;91.0;132.0;27.0;15.0;106.0;76.0;60.0;92.0;133.0;191.0;192.0;193.0;134.0;32.0;20.0;107.0;77.0;61.0;93.0;135.0;28.0;16.0;108.0;78.0;62.0;94.0;136.0;35.0;23.0;109.0;189.0;11.0;190.0;12.0;79.0;63.0;95.0;137.0;80.0;64.0;96.0;138.0;81.0;65.0;97.0;139.0;82.0;66.0;98.0;140.0;83.0;67.0;99.0;141.0;37.0;25.0;194.0;51.0;43.0;47.0;110.0;52.0;44.0;48.0;111.0;53.0;45.0;49.0;112.0;54.0;46.0;50.0;113.0;71.0;55.0;87.0;128.0;72.0;56.0;88.0;129.0;29.0;17.0;103.0;73.0;57.0;89.0;130.0;31.0;19.0;104.0;74.0;58.0;90.0;131.0;30.0;18.0;105.0;84.0;68.0;100.0;142.0;34.0;22.0;114.0;85.0;69.0;101.0;143.0;36.0;24.0;115.0;86.0;70.0;102.0;144.0;33.0;21.0;116.0</t>
  </si>
  <si>
    <t>;38.1;26.1;75.2;59.2;91.2;132.5;27.1;15.1;106.5;76.2;60.2;92.2;133.5;191.2;192.2;193.2;134.5;32.1;20.1;107.5;77.2;61.2;93.2;135.5;28.1;16.1;108.5;78.2;62.2;94.2;136.5;35.1;23.1;109.5;189.2;11.1;190.2;12.1;79.2;63.2;95.2;137.5;80.2;64.2;96.2;138.5;81.2;65.2;97.2;139.5;82.2;66.2;98.2;140.5;83.2;67.2;99.2;141.5;37.1;25.1;194.5;51.2;43.1;47.1;110.5;52.2;44.1;48.1;111.5;53.2;45.1;49.1;112.5;54.2;46.1;50.1;113.5;71.2;55.2;87.2;128.5;72.2;56.2;88.2;129.5;29.1;17.1;103.5;73.2;57.2;89.2;130.5;31.1;19.1;104.5;74.2;58.2;90.2;131.5;30.1;18.1;105.5;84.2;68.2;100.2;142.5;34.1;22.1;114.5;85.2;69.2;101.2;143.5;36.1;24.1;115.5;86.2;70.2;102.2;144.5;33.1;21.1;116.5</t>
  </si>
  <si>
    <t>;26.0;38.0;195.0;3.0;17.0;29.0;145.0;;;4.0;18.0;30.0;147.0;;;5.0;19.0;31.0;146.0;;;8.0;22.0;34.0;153.0;;;10.0;24.0;36.0;154.0;;;7.0;21.0;33.0;155.0;;;1.0;15.0;27.0;148.0;;;2.0;16.0;28.0;150.0;;;6.0;20.0;32.0;149.0;;;9.0;23.0;35.0;151.0;;;13.0;11.0;12.0;25.0;37.0;152.0;;</t>
  </si>
  <si>
    <t>;26.1;38.1;195.1;3.1;17.1;29.1;145.1;;;4.1;18.1;30.1;147.1;;;5.1;19.1;31.1;146.1;;;8.1;22.1;34.1;153.1;;;10.1;24.1;36.1;154.1;;;7.1;21.1;33.1;155.1;;;1.1;15.1;27.1;148.1;;;2.1;16.1;28.1;150.1;;;6.1;20.1;32.1;149.1;;;9.1;23.1;35.1;151.1;;;13.1;11.1;12.1;25.1;37.1;152.1;;</t>
  </si>
  <si>
    <t>192;191</t>
  </si>
  <si>
    <t xml:space="preserve">Отчет.ПАТ УТГ.Режим </t>
  </si>
  <si>
    <t>Отчет.ПАТ УТГ.Режим footer</t>
  </si>
  <si>
    <t>Отчет.ПАТ УТГ.Панорама</t>
  </si>
  <si>
    <t>Отчет.ПАТ УТГ.Панорама footer</t>
  </si>
  <si>
    <t>11;12</t>
  </si>
  <si>
    <t>Отчет.Добові дані Контроль розбалансу итог</t>
  </si>
  <si>
    <t>Отчет.Добові дані Контроль розбалансу стока 1</t>
  </si>
  <si>
    <t>Отчет.Добові дані Контроль розбалансу стока 2</t>
  </si>
  <si>
    <t>Отчет.Добові дані Контроль розбалансу стока 3</t>
  </si>
  <si>
    <t>Отчет.Добові дані Контроль розбалансу стока 4</t>
  </si>
  <si>
    <t>Отчет.Добові дані Контроль розбалансу стока 5</t>
  </si>
  <si>
    <t>Отчет.Добові дані Контроль розбалансу стока 6</t>
  </si>
  <si>
    <t>Отчет.Добові дані Контроль розбалансу стока 7</t>
  </si>
  <si>
    <t>Отчет.Добові дані Контроль розбалансу стока 8</t>
  </si>
  <si>
    <t>Отчет.Добові дані Контроль розбалансу стока 9</t>
  </si>
  <si>
    <t>Отчет.Добові дані Контроль розбалансу стока 10</t>
  </si>
  <si>
    <t>Отчет.Добові дані Контроль розбалансу стока 11</t>
  </si>
  <si>
    <t>Отчет.Добові дані Контроль розбалансу стока 12</t>
  </si>
  <si>
    <t>Отчет.Добові дані Контроль розбалансу стока 13</t>
  </si>
  <si>
    <t>Отчет.Добові дані Контроль розбалансу стока 14</t>
  </si>
  <si>
    <t>Отчет.Добові дані Контроль розбалансу стока 15</t>
  </si>
  <si>
    <t>Отчет.Добові дані Контроль розбалансу стока 16</t>
  </si>
  <si>
    <t>Отчет.Добові дані Контроль розбалансу стока 17</t>
  </si>
  <si>
    <t>Отчет.Добові дані Контроль розбалансу стока 18</t>
  </si>
  <si>
    <t>Отчет.Добові дані Контроль розбалансу стока 19</t>
  </si>
  <si>
    <t>Отчет.Добові дані Контроль розбалансу стока 20</t>
  </si>
  <si>
    <t>Отчет.Добові дані Контроль розбалансу стока 21</t>
  </si>
  <si>
    <t>Отчет.Добові дані Контроль розбалансу стока 22</t>
  </si>
  <si>
    <t>F6</t>
  </si>
  <si>
    <t>39;188;2</t>
  </si>
  <si>
    <t>40;188;2</t>
  </si>
  <si>
    <t>41;188;2</t>
  </si>
  <si>
    <t>42;188;2</t>
  </si>
  <si>
    <t>39;188;1</t>
  </si>
  <si>
    <t>40;188;1</t>
  </si>
  <si>
    <t>41;188;1</t>
  </si>
  <si>
    <t>42;188;1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</si>
</sst>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name val="Consolas"/>
      <family val="3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onsolas"/>
      <family val="3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quotePrefix="1" applyBorder="1"/>
    <xf numFmtId="49" fontId="0" fillId="0" borderId="0" xfId="0" applyNumberFormat="1"/>
    <xf numFmtId="49" fontId="0" fillId="0" borderId="1" xfId="0" applyNumberFormat="1" applyBorder="1"/>
    <xf numFmtId="0" fontId="0" fillId="2" borderId="1" xfId="0" applyFill="1" applyBorder="1"/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left" vertical="center" indent="1"/>
    </xf>
    <xf numFmtId="0" fontId="4" fillId="2" borderId="1" xfId="0" applyFont="1" applyFill="1" applyBorder="1"/>
    <xf numFmtId="0" fontId="4" fillId="2" borderId="0" xfId="0" applyFont="1" applyFill="1"/>
    <xf numFmtId="0" fontId="4" fillId="2" borderId="0" xfId="0" applyFont="1" applyFill="1" applyBorder="1"/>
    <xf numFmtId="49" fontId="4" fillId="2" borderId="0" xfId="0" applyNumberFormat="1" applyFont="1" applyFill="1" applyBorder="1"/>
    <xf numFmtId="0" fontId="0" fillId="0" borderId="0" xfId="0" applyBorder="1"/>
    <xf numFmtId="49" fontId="0" fillId="0" borderId="0" xfId="0" applyNumberFormat="1" applyBorder="1"/>
    <xf numFmtId="0" fontId="3" fillId="0" borderId="0" xfId="0" applyFont="1" applyBorder="1" applyAlignment="1">
      <alignment vertical="center"/>
    </xf>
    <xf numFmtId="0" fontId="0" fillId="0" borderId="0" xfId="0" applyFill="1" applyBorder="1"/>
    <xf numFmtId="49" fontId="3" fillId="0" borderId="0" xfId="0" applyNumberFormat="1" applyFont="1" applyBorder="1" applyAlignment="1">
      <alignment vertical="center"/>
    </xf>
    <xf numFmtId="0" fontId="4" fillId="2" borderId="0" xfId="0" applyNumberFormat="1" applyFont="1" applyFill="1" applyBorder="1"/>
    <xf numFmtId="0" fontId="0" fillId="0" borderId="0" xfId="0" applyNumberFormat="1" applyBorder="1"/>
    <xf numFmtId="0" fontId="0" fillId="0" borderId="0" xfId="0" applyNumberFormat="1"/>
    <xf numFmtId="0" fontId="0" fillId="4" borderId="0" xfId="0" applyFill="1" applyBorder="1"/>
    <xf numFmtId="49" fontId="0" fillId="4" borderId="0" xfId="0" applyNumberFormat="1" applyFill="1" applyBorder="1"/>
    <xf numFmtId="49" fontId="3" fillId="4" borderId="0" xfId="0" applyNumberFormat="1" applyFont="1" applyFill="1" applyBorder="1" applyAlignment="1">
      <alignment vertical="center"/>
    </xf>
    <xf numFmtId="0" fontId="0" fillId="4" borderId="0" xfId="0" applyFill="1"/>
    <xf numFmtId="0" fontId="0" fillId="5" borderId="0" xfId="0" applyFill="1" applyBorder="1"/>
    <xf numFmtId="49" fontId="0" fillId="5" borderId="0" xfId="0" applyNumberFormat="1" applyFill="1" applyBorder="1"/>
    <xf numFmtId="0" fontId="3" fillId="5" borderId="0" xfId="0" applyFont="1" applyFill="1" applyBorder="1" applyAlignment="1">
      <alignment vertical="center"/>
    </xf>
    <xf numFmtId="0" fontId="0" fillId="5" borderId="0" xfId="0" applyFill="1"/>
    <xf numFmtId="49" fontId="0" fillId="5" borderId="0" xfId="0" applyNumberFormat="1" applyFill="1"/>
    <xf numFmtId="0" fontId="3" fillId="5" borderId="0" xfId="0" applyFont="1" applyFill="1" applyAlignment="1">
      <alignment vertical="center"/>
    </xf>
    <xf numFmtId="49" fontId="0" fillId="0" borderId="1" xfId="0" applyNumberFormat="1" applyFill="1" applyBorder="1"/>
    <xf numFmtId="49" fontId="0" fillId="0" borderId="1" xfId="0" quotePrefix="1" applyNumberFormat="1" applyFill="1" applyBorder="1"/>
    <xf numFmtId="49" fontId="0" fillId="0" borderId="0" xfId="0" applyNumberFormat="1" applyFill="1"/>
    <xf numFmtId="0" fontId="0" fillId="0" borderId="0" xfId="0" applyFill="1"/>
    <xf numFmtId="0" fontId="0" fillId="0" borderId="1" xfId="0" quotePrefix="1" applyFill="1" applyBorder="1"/>
    <xf numFmtId="16" fontId="0" fillId="0" borderId="1" xfId="0" quotePrefix="1" applyNumberFormat="1" applyFill="1" applyBorder="1"/>
    <xf numFmtId="49" fontId="3" fillId="5" borderId="0" xfId="0" applyNumberFormat="1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13</xdr:row>
          <xdr:rowOff>123825</xdr:rowOff>
        </xdr:from>
        <xdr:to>
          <xdr:col>6</xdr:col>
          <xdr:colOff>228600</xdr:colOff>
          <xdr:row>24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47625</xdr:rowOff>
        </xdr:from>
        <xdr:to>
          <xdr:col>2</xdr:col>
          <xdr:colOff>590550</xdr:colOff>
          <xdr:row>14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133350</xdr:colOff>
          <xdr:row>7</xdr:row>
          <xdr:rowOff>38100</xdr:rowOff>
        </xdr:from>
        <xdr:to>
          <xdr:col>42</xdr:col>
          <xdr:colOff>866775</xdr:colOff>
          <xdr:row>9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</xdr:row>
          <xdr:rowOff>28575</xdr:rowOff>
        </xdr:from>
        <xdr:to>
          <xdr:col>10</xdr:col>
          <xdr:colOff>47625</xdr:colOff>
          <xdr:row>3</xdr:row>
          <xdr:rowOff>552450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161925</xdr:rowOff>
        </xdr:from>
        <xdr:to>
          <xdr:col>12</xdr:col>
          <xdr:colOff>0</xdr:colOff>
          <xdr:row>3</xdr:row>
          <xdr:rowOff>561975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3</xdr:row>
          <xdr:rowOff>19050</xdr:rowOff>
        </xdr:from>
        <xdr:to>
          <xdr:col>10</xdr:col>
          <xdr:colOff>66675</xdr:colOff>
          <xdr:row>3</xdr:row>
          <xdr:rowOff>533400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T9"/>
  <sheetViews>
    <sheetView topLeftCell="AP1" zoomScaleNormal="100" workbookViewId="0">
      <selection activeCell="BL6" sqref="BL6:BL7"/>
    </sheetView>
  </sheetViews>
  <sheetFormatPr defaultRowHeight="15" x14ac:dyDescent="0.25"/>
  <cols>
    <col min="1" max="1" width="7.42578125" bestFit="1" customWidth="1"/>
    <col min="2" max="2" width="12.42578125" customWidth="1"/>
    <col min="3" max="3" width="13.42578125" customWidth="1"/>
    <col min="4" max="5" width="5.5703125" bestFit="1" customWidth="1"/>
    <col min="6" max="6" width="11" bestFit="1" customWidth="1"/>
    <col min="7" max="7" width="5.5703125" bestFit="1" customWidth="1"/>
    <col min="8" max="9" width="12.5703125" bestFit="1" customWidth="1"/>
    <col min="10" max="10" width="5.85546875" bestFit="1" customWidth="1"/>
    <col min="11" max="12" width="5.5703125" bestFit="1" customWidth="1"/>
    <col min="13" max="13" width="11" bestFit="1" customWidth="1"/>
    <col min="14" max="16" width="5.5703125" bestFit="1" customWidth="1"/>
    <col min="17" max="17" width="11" bestFit="1" customWidth="1"/>
    <col min="18" max="18" width="5.5703125" bestFit="1" customWidth="1"/>
    <col min="19" max="20" width="12.5703125" bestFit="1" customWidth="1"/>
    <col min="21" max="21" width="5.85546875" bestFit="1" customWidth="1"/>
    <col min="22" max="23" width="5.5703125" bestFit="1" customWidth="1"/>
    <col min="24" max="24" width="11" bestFit="1" customWidth="1"/>
    <col min="25" max="25" width="5.5703125" bestFit="1" customWidth="1"/>
    <col min="26" max="27" width="12.5703125" bestFit="1" customWidth="1"/>
    <col min="28" max="28" width="5.85546875" bestFit="1" customWidth="1"/>
    <col min="29" max="30" width="5.5703125" bestFit="1" customWidth="1"/>
    <col min="31" max="31" width="11" bestFit="1" customWidth="1"/>
    <col min="32" max="32" width="5.5703125" bestFit="1" customWidth="1"/>
    <col min="33" max="34" width="12.5703125" bestFit="1" customWidth="1"/>
    <col min="35" max="35" width="5.85546875" bestFit="1" customWidth="1"/>
    <col min="36" max="41" width="5.5703125" bestFit="1" customWidth="1"/>
    <col min="42" max="42" width="11" bestFit="1" customWidth="1"/>
    <col min="43" max="45" width="5.5703125" bestFit="1" customWidth="1"/>
    <col min="46" max="46" width="11" bestFit="1" customWidth="1"/>
    <col min="47" max="49" width="5.5703125" bestFit="1" customWidth="1"/>
    <col min="50" max="50" width="11" bestFit="1" customWidth="1"/>
    <col min="51" max="53" width="5.5703125" bestFit="1" customWidth="1"/>
    <col min="54" max="54" width="11" bestFit="1" customWidth="1"/>
    <col min="55" max="57" width="5.5703125" bestFit="1" customWidth="1"/>
    <col min="58" max="58" width="11" bestFit="1" customWidth="1"/>
    <col min="59" max="59" width="5.5703125" bestFit="1" customWidth="1"/>
    <col min="60" max="62" width="14.28515625" bestFit="1" customWidth="1"/>
    <col min="63" max="63" width="5.5703125" bestFit="1" customWidth="1"/>
    <col min="64" max="65" width="12.5703125" bestFit="1" customWidth="1"/>
    <col min="66" max="66" width="5.85546875" bestFit="1" customWidth="1"/>
    <col min="67" max="67" width="5.5703125" bestFit="1" customWidth="1"/>
    <col min="68" max="69" width="12.5703125" bestFit="1" customWidth="1"/>
    <col min="70" max="70" width="5.85546875" bestFit="1" customWidth="1"/>
    <col min="71" max="71" width="5.5703125" bestFit="1" customWidth="1"/>
    <col min="72" max="73" width="12.5703125" bestFit="1" customWidth="1"/>
    <col min="74" max="74" width="5.85546875" bestFit="1" customWidth="1"/>
    <col min="75" max="75" width="5.5703125" bestFit="1" customWidth="1"/>
    <col min="76" max="77" width="12.5703125" bestFit="1" customWidth="1"/>
    <col min="78" max="78" width="5.85546875" bestFit="1" customWidth="1"/>
    <col min="79" max="80" width="5.5703125" bestFit="1" customWidth="1"/>
    <col min="81" max="81" width="11" bestFit="1" customWidth="1"/>
    <col min="82" max="84" width="5.5703125" bestFit="1" customWidth="1"/>
    <col min="85" max="85" width="11" bestFit="1" customWidth="1"/>
    <col min="86" max="86" width="5.5703125" bestFit="1" customWidth="1"/>
    <col min="87" max="87" width="17" bestFit="1" customWidth="1"/>
    <col min="88" max="88" width="12.5703125" bestFit="1" customWidth="1"/>
    <col min="89" max="89" width="5.85546875" bestFit="1" customWidth="1"/>
    <col min="90" max="91" width="5.5703125" bestFit="1" customWidth="1"/>
    <col min="92" max="92" width="11" bestFit="1" customWidth="1"/>
    <col min="93" max="93" width="5.5703125" bestFit="1" customWidth="1"/>
    <col min="94" max="95" width="12.5703125" bestFit="1" customWidth="1"/>
    <col min="96" max="96" width="5.85546875" bestFit="1" customWidth="1"/>
    <col min="97" max="98" width="5.5703125" bestFit="1" customWidth="1"/>
    <col min="99" max="99" width="11" bestFit="1" customWidth="1"/>
    <col min="100" max="100" width="5.5703125" bestFit="1" customWidth="1"/>
    <col min="101" max="102" width="12.5703125" bestFit="1" customWidth="1"/>
    <col min="103" max="103" width="5.85546875" bestFit="1" customWidth="1"/>
    <col min="104" max="105" width="5.5703125" bestFit="1" customWidth="1"/>
    <col min="106" max="106" width="11" bestFit="1" customWidth="1"/>
    <col min="107" max="107" width="5.5703125" bestFit="1" customWidth="1"/>
    <col min="108" max="109" width="12.5703125" bestFit="1" customWidth="1"/>
    <col min="110" max="110" width="5.85546875" bestFit="1" customWidth="1"/>
    <col min="111" max="112" width="5.5703125" bestFit="1" customWidth="1"/>
    <col min="113" max="113" width="11" bestFit="1" customWidth="1"/>
    <col min="114" max="114" width="5.5703125" bestFit="1" customWidth="1"/>
    <col min="115" max="116" width="12.5703125" bestFit="1" customWidth="1"/>
    <col min="117" max="117" width="5.85546875" bestFit="1" customWidth="1"/>
    <col min="118" max="119" width="5.5703125" bestFit="1" customWidth="1"/>
    <col min="120" max="120" width="11" bestFit="1" customWidth="1"/>
    <col min="121" max="121" width="5.5703125" bestFit="1" customWidth="1"/>
    <col min="122" max="123" width="12.5703125" bestFit="1" customWidth="1"/>
    <col min="124" max="124" width="5.85546875" bestFit="1" customWidth="1"/>
  </cols>
  <sheetData>
    <row r="1" spans="1:124" x14ac:dyDescent="0.25">
      <c r="A1" s="49" t="s">
        <v>0</v>
      </c>
      <c r="B1" s="48" t="s">
        <v>1</v>
      </c>
      <c r="C1" s="48"/>
      <c r="D1" s="48" t="s">
        <v>5</v>
      </c>
      <c r="E1" s="48"/>
      <c r="F1" s="48"/>
      <c r="G1" s="48"/>
      <c r="H1" s="48"/>
      <c r="I1" s="48"/>
      <c r="J1" s="48"/>
      <c r="K1" s="48" t="s">
        <v>17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 t="s">
        <v>18</v>
      </c>
      <c r="W1" s="48"/>
      <c r="X1" s="48"/>
      <c r="Y1" s="48"/>
      <c r="Z1" s="48"/>
      <c r="AA1" s="48"/>
      <c r="AB1" s="48"/>
      <c r="AC1" s="48" t="s">
        <v>20</v>
      </c>
      <c r="AD1" s="48"/>
      <c r="AE1" s="48"/>
      <c r="AF1" s="48"/>
      <c r="AG1" s="48"/>
      <c r="AH1" s="48"/>
      <c r="AI1" s="48"/>
      <c r="AJ1" s="48" t="s">
        <v>32</v>
      </c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 t="s">
        <v>33</v>
      </c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 t="s">
        <v>36</v>
      </c>
      <c r="CM1" s="48"/>
      <c r="CN1" s="48"/>
      <c r="CO1" s="48"/>
      <c r="CP1" s="48"/>
      <c r="CQ1" s="48"/>
      <c r="CR1" s="48"/>
      <c r="CS1" s="48" t="s">
        <v>38</v>
      </c>
      <c r="CT1" s="48"/>
      <c r="CU1" s="48"/>
      <c r="CV1" s="48"/>
      <c r="CW1" s="48"/>
      <c r="CX1" s="48"/>
      <c r="CY1" s="48"/>
      <c r="CZ1" s="48" t="s">
        <v>40</v>
      </c>
      <c r="DA1" s="48"/>
      <c r="DB1" s="48"/>
      <c r="DC1" s="48"/>
      <c r="DD1" s="48"/>
      <c r="DE1" s="48"/>
      <c r="DF1" s="48"/>
      <c r="DG1" s="48" t="s">
        <v>42</v>
      </c>
      <c r="DH1" s="48"/>
      <c r="DI1" s="48"/>
      <c r="DJ1" s="48"/>
      <c r="DK1" s="48"/>
      <c r="DL1" s="48"/>
      <c r="DM1" s="48"/>
      <c r="DN1" s="48" t="s">
        <v>44</v>
      </c>
      <c r="DO1" s="48"/>
      <c r="DP1" s="48"/>
      <c r="DQ1" s="48"/>
      <c r="DR1" s="48"/>
      <c r="DS1" s="48"/>
      <c r="DT1" s="48"/>
    </row>
    <row r="2" spans="1:124" x14ac:dyDescent="0.25">
      <c r="A2" s="49"/>
      <c r="B2" s="1" t="s">
        <v>3</v>
      </c>
      <c r="C2" s="1" t="s">
        <v>4</v>
      </c>
      <c r="D2" s="48" t="s">
        <v>6</v>
      </c>
      <c r="E2" s="48"/>
      <c r="F2" s="48"/>
      <c r="G2" s="48"/>
      <c r="H2" s="48" t="s">
        <v>7</v>
      </c>
      <c r="I2" s="48"/>
      <c r="J2" s="48"/>
      <c r="K2" s="48" t="s">
        <v>15</v>
      </c>
      <c r="L2" s="48"/>
      <c r="M2" s="48"/>
      <c r="N2" s="48"/>
      <c r="O2" s="48" t="s">
        <v>16</v>
      </c>
      <c r="P2" s="48"/>
      <c r="Q2" s="48"/>
      <c r="R2" s="48"/>
      <c r="S2" s="48" t="s">
        <v>7</v>
      </c>
      <c r="T2" s="48"/>
      <c r="U2" s="48"/>
      <c r="V2" s="48" t="s">
        <v>19</v>
      </c>
      <c r="W2" s="48"/>
      <c r="X2" s="48"/>
      <c r="Y2" s="48"/>
      <c r="Z2" s="48" t="s">
        <v>7</v>
      </c>
      <c r="AA2" s="48"/>
      <c r="AB2" s="48"/>
      <c r="AC2" s="48" t="s">
        <v>19</v>
      </c>
      <c r="AD2" s="48"/>
      <c r="AE2" s="48"/>
      <c r="AF2" s="48"/>
      <c r="AG2" s="48" t="s">
        <v>7</v>
      </c>
      <c r="AH2" s="48"/>
      <c r="AI2" s="48"/>
      <c r="AJ2" s="48" t="s">
        <v>23</v>
      </c>
      <c r="AK2" s="48"/>
      <c r="AL2" s="48"/>
      <c r="AM2" s="48"/>
      <c r="AN2" s="48" t="s">
        <v>22</v>
      </c>
      <c r="AO2" s="48"/>
      <c r="AP2" s="48"/>
      <c r="AQ2" s="48"/>
      <c r="AR2" s="48" t="s">
        <v>24</v>
      </c>
      <c r="AS2" s="48"/>
      <c r="AT2" s="48"/>
      <c r="AU2" s="48"/>
      <c r="AV2" s="48" t="s">
        <v>25</v>
      </c>
      <c r="AW2" s="48"/>
      <c r="AX2" s="48"/>
      <c r="AY2" s="48"/>
      <c r="AZ2" s="48" t="s">
        <v>26</v>
      </c>
      <c r="BA2" s="48"/>
      <c r="BB2" s="48"/>
      <c r="BC2" s="48"/>
      <c r="BD2" s="48" t="s">
        <v>27</v>
      </c>
      <c r="BE2" s="48"/>
      <c r="BF2" s="48"/>
      <c r="BG2" s="48"/>
      <c r="BH2" s="48" t="s">
        <v>7</v>
      </c>
      <c r="BI2" s="48"/>
      <c r="BJ2" s="48"/>
      <c r="BK2" s="48" t="s">
        <v>28</v>
      </c>
      <c r="BL2" s="48"/>
      <c r="BM2" s="48"/>
      <c r="BN2" s="48"/>
      <c r="BO2" s="48" t="s">
        <v>29</v>
      </c>
      <c r="BP2" s="48"/>
      <c r="BQ2" s="48"/>
      <c r="BR2" s="48"/>
      <c r="BS2" s="48" t="s">
        <v>30</v>
      </c>
      <c r="BT2" s="48"/>
      <c r="BU2" s="48"/>
      <c r="BV2" s="48"/>
      <c r="BW2" s="48" t="s">
        <v>31</v>
      </c>
      <c r="BX2" s="48"/>
      <c r="BY2" s="48"/>
      <c r="BZ2" s="48"/>
      <c r="CA2" s="48" t="s">
        <v>34</v>
      </c>
      <c r="CB2" s="48"/>
      <c r="CC2" s="48"/>
      <c r="CD2" s="48"/>
      <c r="CE2" s="48" t="s">
        <v>35</v>
      </c>
      <c r="CF2" s="48"/>
      <c r="CG2" s="48"/>
      <c r="CH2" s="48"/>
      <c r="CI2" s="48" t="s">
        <v>7</v>
      </c>
      <c r="CJ2" s="48"/>
      <c r="CK2" s="48"/>
      <c r="CL2" s="48" t="s">
        <v>37</v>
      </c>
      <c r="CM2" s="48"/>
      <c r="CN2" s="48"/>
      <c r="CO2" s="48"/>
      <c r="CP2" s="48" t="s">
        <v>7</v>
      </c>
      <c r="CQ2" s="48"/>
      <c r="CR2" s="48"/>
      <c r="CS2" s="48" t="s">
        <v>39</v>
      </c>
      <c r="CT2" s="48"/>
      <c r="CU2" s="48"/>
      <c r="CV2" s="48"/>
      <c r="CW2" s="48" t="s">
        <v>7</v>
      </c>
      <c r="CX2" s="48"/>
      <c r="CY2" s="48"/>
      <c r="CZ2" s="48" t="s">
        <v>41</v>
      </c>
      <c r="DA2" s="48"/>
      <c r="DB2" s="48"/>
      <c r="DC2" s="48"/>
      <c r="DD2" s="48" t="s">
        <v>7</v>
      </c>
      <c r="DE2" s="48"/>
      <c r="DF2" s="48"/>
      <c r="DG2" s="48" t="s">
        <v>43</v>
      </c>
      <c r="DH2" s="48"/>
      <c r="DI2" s="48"/>
      <c r="DJ2" s="48"/>
      <c r="DK2" s="48" t="s">
        <v>7</v>
      </c>
      <c r="DL2" s="48"/>
      <c r="DM2" s="48"/>
      <c r="DN2" s="48" t="s">
        <v>45</v>
      </c>
      <c r="DO2" s="48"/>
      <c r="DP2" s="48"/>
      <c r="DQ2" s="48"/>
      <c r="DR2" s="48" t="s">
        <v>7</v>
      </c>
      <c r="DS2" s="48"/>
      <c r="DT2" s="48"/>
    </row>
    <row r="3" spans="1:124" x14ac:dyDescent="0.25">
      <c r="A3" s="49"/>
      <c r="B3" s="1"/>
      <c r="C3" s="1"/>
      <c r="D3" s="48" t="s">
        <v>8</v>
      </c>
      <c r="E3" s="48"/>
      <c r="F3" s="48"/>
      <c r="G3" s="1" t="s">
        <v>46</v>
      </c>
      <c r="H3" s="48" t="s">
        <v>13</v>
      </c>
      <c r="I3" s="48"/>
      <c r="J3" s="1" t="s">
        <v>46</v>
      </c>
      <c r="K3" s="48" t="s">
        <v>8</v>
      </c>
      <c r="L3" s="48"/>
      <c r="M3" s="48"/>
      <c r="N3" s="1"/>
      <c r="O3" s="48" t="s">
        <v>8</v>
      </c>
      <c r="P3" s="48"/>
      <c r="Q3" s="48"/>
      <c r="R3" s="1"/>
      <c r="S3" s="50" t="s">
        <v>13</v>
      </c>
      <c r="T3" s="51"/>
      <c r="U3" s="1" t="s">
        <v>46</v>
      </c>
      <c r="V3" s="48" t="s">
        <v>8</v>
      </c>
      <c r="W3" s="48"/>
      <c r="X3" s="48"/>
      <c r="Y3" s="1" t="s">
        <v>46</v>
      </c>
      <c r="Z3" s="48" t="s">
        <v>13</v>
      </c>
      <c r="AA3" s="48"/>
      <c r="AB3" s="1" t="s">
        <v>46</v>
      </c>
      <c r="AC3" s="48" t="s">
        <v>8</v>
      </c>
      <c r="AD3" s="48"/>
      <c r="AE3" s="48"/>
      <c r="AF3" s="1" t="s">
        <v>46</v>
      </c>
      <c r="AG3" s="48" t="s">
        <v>13</v>
      </c>
      <c r="AH3" s="48"/>
      <c r="AI3" s="1" t="s">
        <v>46</v>
      </c>
      <c r="AJ3" s="48">
        <v>1200</v>
      </c>
      <c r="AK3" s="48"/>
      <c r="AL3" s="48">
        <v>1400</v>
      </c>
      <c r="AM3" s="48"/>
      <c r="AN3" s="48" t="s">
        <v>8</v>
      </c>
      <c r="AO3" s="48"/>
      <c r="AP3" s="48"/>
      <c r="AQ3" s="1" t="s">
        <v>46</v>
      </c>
      <c r="AR3" s="48" t="s">
        <v>8</v>
      </c>
      <c r="AS3" s="48"/>
      <c r="AT3" s="48"/>
      <c r="AU3" s="1" t="s">
        <v>46</v>
      </c>
      <c r="AV3" s="48" t="s">
        <v>8</v>
      </c>
      <c r="AW3" s="48"/>
      <c r="AX3" s="48"/>
      <c r="AY3" s="1" t="s">
        <v>46</v>
      </c>
      <c r="AZ3" s="48" t="s">
        <v>8</v>
      </c>
      <c r="BA3" s="48"/>
      <c r="BB3" s="48"/>
      <c r="BC3" s="1" t="s">
        <v>46</v>
      </c>
      <c r="BD3" s="48" t="s">
        <v>8</v>
      </c>
      <c r="BE3" s="48"/>
      <c r="BF3" s="48"/>
      <c r="BG3" s="1" t="s">
        <v>46</v>
      </c>
      <c r="BH3" s="48" t="s">
        <v>13</v>
      </c>
      <c r="BI3" s="48"/>
      <c r="BJ3" s="1" t="s">
        <v>46</v>
      </c>
      <c r="BK3" s="48" t="s">
        <v>13</v>
      </c>
      <c r="BL3" s="48"/>
      <c r="BM3" s="48"/>
      <c r="BN3" s="1" t="s">
        <v>46</v>
      </c>
      <c r="BO3" s="48" t="s">
        <v>13</v>
      </c>
      <c r="BP3" s="48"/>
      <c r="BQ3" s="48"/>
      <c r="BR3" s="1" t="s">
        <v>46</v>
      </c>
      <c r="BS3" s="48" t="s">
        <v>13</v>
      </c>
      <c r="BT3" s="48"/>
      <c r="BU3" s="48"/>
      <c r="BV3" s="1" t="s">
        <v>46</v>
      </c>
      <c r="BW3" s="48" t="s">
        <v>13</v>
      </c>
      <c r="BX3" s="48"/>
      <c r="BY3" s="48"/>
      <c r="BZ3" s="1" t="s">
        <v>46</v>
      </c>
      <c r="CA3" s="48" t="s">
        <v>8</v>
      </c>
      <c r="CB3" s="48"/>
      <c r="CC3" s="48"/>
      <c r="CD3" s="1"/>
      <c r="CE3" s="48" t="s">
        <v>8</v>
      </c>
      <c r="CF3" s="48"/>
      <c r="CG3" s="48"/>
      <c r="CH3" s="1"/>
      <c r="CI3" s="1" t="s">
        <v>13</v>
      </c>
      <c r="CJ3" s="1"/>
      <c r="CK3" s="1" t="s">
        <v>46</v>
      </c>
      <c r="CL3" s="48" t="s">
        <v>8</v>
      </c>
      <c r="CM3" s="48"/>
      <c r="CN3" s="48"/>
      <c r="CO3" s="1" t="s">
        <v>46</v>
      </c>
      <c r="CP3" s="48" t="s">
        <v>13</v>
      </c>
      <c r="CQ3" s="48"/>
      <c r="CR3" s="1" t="s">
        <v>46</v>
      </c>
      <c r="CS3" s="48" t="s">
        <v>8</v>
      </c>
      <c r="CT3" s="48"/>
      <c r="CU3" s="48"/>
      <c r="CV3" s="1" t="s">
        <v>46</v>
      </c>
      <c r="CW3" s="48" t="s">
        <v>13</v>
      </c>
      <c r="CX3" s="48"/>
      <c r="CY3" s="1" t="s">
        <v>46</v>
      </c>
      <c r="CZ3" s="48" t="s">
        <v>8</v>
      </c>
      <c r="DA3" s="48"/>
      <c r="DB3" s="48"/>
      <c r="DC3" s="1" t="s">
        <v>46</v>
      </c>
      <c r="DD3" s="48" t="s">
        <v>13</v>
      </c>
      <c r="DE3" s="48"/>
      <c r="DF3" s="1" t="s">
        <v>46</v>
      </c>
      <c r="DG3" s="48" t="s">
        <v>8</v>
      </c>
      <c r="DH3" s="48"/>
      <c r="DI3" s="48"/>
      <c r="DJ3" s="1" t="s">
        <v>46</v>
      </c>
      <c r="DK3" s="48" t="s">
        <v>13</v>
      </c>
      <c r="DL3" s="48"/>
      <c r="DM3" s="1" t="s">
        <v>46</v>
      </c>
      <c r="DN3" s="48" t="s">
        <v>8</v>
      </c>
      <c r="DO3" s="48"/>
      <c r="DP3" s="48"/>
      <c r="DQ3" s="1" t="s">
        <v>46</v>
      </c>
      <c r="DR3" s="48" t="s">
        <v>13</v>
      </c>
      <c r="DS3" s="48"/>
      <c r="DT3" s="1" t="s">
        <v>46</v>
      </c>
    </row>
    <row r="4" spans="1:124" x14ac:dyDescent="0.25">
      <c r="A4" s="49"/>
      <c r="B4" s="1"/>
      <c r="C4" s="1"/>
      <c r="D4" s="1" t="s">
        <v>9</v>
      </c>
      <c r="E4" s="1" t="s">
        <v>10</v>
      </c>
      <c r="F4" s="1" t="s">
        <v>11</v>
      </c>
      <c r="G4" s="1" t="s">
        <v>12</v>
      </c>
      <c r="H4" s="1" t="s">
        <v>3</v>
      </c>
      <c r="I4" s="1" t="s">
        <v>4</v>
      </c>
      <c r="J4" s="1" t="s">
        <v>14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9</v>
      </c>
      <c r="P4" s="1" t="s">
        <v>10</v>
      </c>
      <c r="Q4" s="1" t="s">
        <v>11</v>
      </c>
      <c r="R4" s="1" t="s">
        <v>12</v>
      </c>
      <c r="S4" s="1" t="s">
        <v>3</v>
      </c>
      <c r="T4" s="1" t="s">
        <v>4</v>
      </c>
      <c r="U4" s="1" t="s">
        <v>14</v>
      </c>
      <c r="V4" s="1" t="s">
        <v>9</v>
      </c>
      <c r="W4" s="1" t="s">
        <v>10</v>
      </c>
      <c r="X4" s="1" t="s">
        <v>11</v>
      </c>
      <c r="Y4" s="1" t="s">
        <v>12</v>
      </c>
      <c r="Z4" s="1" t="s">
        <v>3</v>
      </c>
      <c r="AA4" s="1" t="s">
        <v>4</v>
      </c>
      <c r="AB4" s="1" t="s">
        <v>14</v>
      </c>
      <c r="AC4" s="1" t="s">
        <v>9</v>
      </c>
      <c r="AD4" s="1" t="s">
        <v>10</v>
      </c>
      <c r="AE4" s="1" t="s">
        <v>11</v>
      </c>
      <c r="AF4" s="1" t="s">
        <v>12</v>
      </c>
      <c r="AG4" s="1" t="s">
        <v>3</v>
      </c>
      <c r="AH4" s="1" t="s">
        <v>4</v>
      </c>
      <c r="AI4" s="1" t="s">
        <v>14</v>
      </c>
      <c r="AJ4" s="2" t="s">
        <v>21</v>
      </c>
      <c r="AK4" s="2" t="s">
        <v>2</v>
      </c>
      <c r="AL4" s="2" t="s">
        <v>21</v>
      </c>
      <c r="AM4" s="2" t="s">
        <v>2</v>
      </c>
      <c r="AN4" s="1" t="s">
        <v>9</v>
      </c>
      <c r="AO4" s="1" t="s">
        <v>10</v>
      </c>
      <c r="AP4" s="1" t="s">
        <v>11</v>
      </c>
      <c r="AQ4" s="1" t="s">
        <v>12</v>
      </c>
      <c r="AR4" s="1" t="s">
        <v>9</v>
      </c>
      <c r="AS4" s="1" t="s">
        <v>10</v>
      </c>
      <c r="AT4" s="1" t="s">
        <v>11</v>
      </c>
      <c r="AU4" s="1" t="s">
        <v>12</v>
      </c>
      <c r="AV4" s="1" t="s">
        <v>9</v>
      </c>
      <c r="AW4" s="1" t="s">
        <v>10</v>
      </c>
      <c r="AX4" s="1" t="s">
        <v>11</v>
      </c>
      <c r="AY4" s="1" t="s">
        <v>12</v>
      </c>
      <c r="AZ4" s="1" t="s">
        <v>9</v>
      </c>
      <c r="BA4" s="1" t="s">
        <v>10</v>
      </c>
      <c r="BB4" s="1" t="s">
        <v>11</v>
      </c>
      <c r="BC4" s="1" t="s">
        <v>12</v>
      </c>
      <c r="BD4" s="1" t="s">
        <v>9</v>
      </c>
      <c r="BE4" s="1" t="s">
        <v>10</v>
      </c>
      <c r="BF4" s="1" t="s">
        <v>11</v>
      </c>
      <c r="BG4" s="1" t="s">
        <v>12</v>
      </c>
      <c r="BH4" s="1" t="s">
        <v>3</v>
      </c>
      <c r="BI4" s="1" t="s">
        <v>4</v>
      </c>
      <c r="BJ4" s="1" t="s">
        <v>14</v>
      </c>
      <c r="BK4" s="1" t="s">
        <v>10</v>
      </c>
      <c r="BL4" s="1" t="s">
        <v>3</v>
      </c>
      <c r="BM4" s="1" t="s">
        <v>4</v>
      </c>
      <c r="BN4" s="1" t="s">
        <v>14</v>
      </c>
      <c r="BO4" s="1" t="s">
        <v>10</v>
      </c>
      <c r="BP4" s="1" t="s">
        <v>3</v>
      </c>
      <c r="BQ4" s="1" t="s">
        <v>4</v>
      </c>
      <c r="BR4" s="1" t="s">
        <v>14</v>
      </c>
      <c r="BS4" s="1" t="s">
        <v>10</v>
      </c>
      <c r="BT4" s="1" t="s">
        <v>3</v>
      </c>
      <c r="BU4" s="1" t="s">
        <v>4</v>
      </c>
      <c r="BV4" s="1" t="s">
        <v>14</v>
      </c>
      <c r="BW4" s="1" t="s">
        <v>10</v>
      </c>
      <c r="BX4" s="1" t="s">
        <v>3</v>
      </c>
      <c r="BY4" s="1" t="s">
        <v>4</v>
      </c>
      <c r="BZ4" s="1" t="s">
        <v>14</v>
      </c>
      <c r="CA4" s="1" t="s">
        <v>9</v>
      </c>
      <c r="CB4" s="1" t="s">
        <v>10</v>
      </c>
      <c r="CC4" s="1" t="s">
        <v>11</v>
      </c>
      <c r="CD4" s="1" t="s">
        <v>12</v>
      </c>
      <c r="CE4" s="1" t="s">
        <v>9</v>
      </c>
      <c r="CF4" s="1" t="s">
        <v>10</v>
      </c>
      <c r="CG4" s="1" t="s">
        <v>11</v>
      </c>
      <c r="CH4" s="1" t="s">
        <v>12</v>
      </c>
      <c r="CI4" s="1" t="s">
        <v>3</v>
      </c>
      <c r="CJ4" s="1" t="s">
        <v>4</v>
      </c>
      <c r="CK4" s="1" t="s">
        <v>14</v>
      </c>
      <c r="CL4" s="1" t="s">
        <v>9</v>
      </c>
      <c r="CM4" s="1" t="s">
        <v>10</v>
      </c>
      <c r="CN4" s="1" t="s">
        <v>11</v>
      </c>
      <c r="CO4" s="1" t="s">
        <v>12</v>
      </c>
      <c r="CP4" s="1" t="s">
        <v>3</v>
      </c>
      <c r="CQ4" s="1" t="s">
        <v>4</v>
      </c>
      <c r="CR4" s="1" t="s">
        <v>14</v>
      </c>
      <c r="CS4" s="1" t="s">
        <v>9</v>
      </c>
      <c r="CT4" s="1" t="s">
        <v>10</v>
      </c>
      <c r="CU4" s="1" t="s">
        <v>11</v>
      </c>
      <c r="CV4" s="1" t="s">
        <v>12</v>
      </c>
      <c r="CW4" s="1" t="s">
        <v>3</v>
      </c>
      <c r="CX4" s="1" t="s">
        <v>4</v>
      </c>
      <c r="CY4" s="1" t="s">
        <v>14</v>
      </c>
      <c r="CZ4" s="1" t="s">
        <v>9</v>
      </c>
      <c r="DA4" s="1" t="s">
        <v>10</v>
      </c>
      <c r="DB4" s="1" t="s">
        <v>11</v>
      </c>
      <c r="DC4" s="1" t="s">
        <v>12</v>
      </c>
      <c r="DD4" s="1" t="s">
        <v>3</v>
      </c>
      <c r="DE4" s="1" t="s">
        <v>4</v>
      </c>
      <c r="DF4" s="1" t="s">
        <v>14</v>
      </c>
      <c r="DG4" s="1" t="s">
        <v>9</v>
      </c>
      <c r="DH4" s="1" t="s">
        <v>10</v>
      </c>
      <c r="DI4" s="1" t="s">
        <v>11</v>
      </c>
      <c r="DJ4" s="1" t="s">
        <v>12</v>
      </c>
      <c r="DK4" s="1" t="s">
        <v>3</v>
      </c>
      <c r="DL4" s="1" t="s">
        <v>4</v>
      </c>
      <c r="DM4" s="1" t="s">
        <v>14</v>
      </c>
      <c r="DN4" s="1" t="s">
        <v>9</v>
      </c>
      <c r="DO4" s="1" t="s">
        <v>10</v>
      </c>
      <c r="DP4" s="1" t="s">
        <v>11</v>
      </c>
      <c r="DQ4" s="1" t="s">
        <v>12</v>
      </c>
      <c r="DR4" s="1" t="s">
        <v>3</v>
      </c>
      <c r="DS4" s="1" t="s">
        <v>4</v>
      </c>
      <c r="DT4" s="1" t="s">
        <v>14</v>
      </c>
    </row>
    <row r="5" spans="1:124" s="20" customFormat="1" x14ac:dyDescent="0.25">
      <c r="A5" s="19">
        <v>1</v>
      </c>
      <c r="B5" s="19">
        <v>2</v>
      </c>
      <c r="C5" s="19">
        <v>3</v>
      </c>
      <c r="D5" s="19">
        <v>4</v>
      </c>
      <c r="E5" s="19">
        <v>5</v>
      </c>
      <c r="F5" s="19">
        <v>6</v>
      </c>
      <c r="G5" s="19">
        <v>7</v>
      </c>
      <c r="H5" s="19">
        <v>8</v>
      </c>
      <c r="I5" s="19">
        <v>9</v>
      </c>
      <c r="J5" s="19">
        <v>10</v>
      </c>
      <c r="K5" s="19">
        <v>11</v>
      </c>
      <c r="L5" s="19">
        <v>12</v>
      </c>
      <c r="M5" s="19">
        <v>13</v>
      </c>
      <c r="N5" s="19">
        <v>14</v>
      </c>
      <c r="O5" s="19">
        <v>15</v>
      </c>
      <c r="P5" s="19">
        <v>16</v>
      </c>
      <c r="Q5" s="19">
        <v>17</v>
      </c>
      <c r="R5" s="19">
        <v>18</v>
      </c>
      <c r="S5" s="19">
        <v>19</v>
      </c>
      <c r="T5" s="19">
        <v>20</v>
      </c>
      <c r="U5" s="19">
        <v>21</v>
      </c>
      <c r="V5" s="19">
        <v>22</v>
      </c>
      <c r="W5" s="19">
        <v>23</v>
      </c>
      <c r="X5" s="19">
        <v>24</v>
      </c>
      <c r="Y5" s="19">
        <v>25</v>
      </c>
      <c r="Z5" s="19">
        <v>26</v>
      </c>
      <c r="AA5" s="19">
        <v>27</v>
      </c>
      <c r="AB5" s="19">
        <v>28</v>
      </c>
      <c r="AC5" s="19">
        <v>29</v>
      </c>
      <c r="AD5" s="19">
        <v>30</v>
      </c>
      <c r="AE5" s="19">
        <v>31</v>
      </c>
      <c r="AF5" s="19">
        <v>32</v>
      </c>
      <c r="AG5" s="19">
        <v>33</v>
      </c>
      <c r="AH5" s="19">
        <v>34</v>
      </c>
      <c r="AI5" s="19">
        <v>35</v>
      </c>
      <c r="AJ5" s="19">
        <v>36</v>
      </c>
      <c r="AK5" s="19">
        <v>37</v>
      </c>
      <c r="AL5" s="19">
        <v>38</v>
      </c>
      <c r="AM5" s="19">
        <v>39</v>
      </c>
      <c r="AN5" s="19">
        <v>40</v>
      </c>
      <c r="AO5" s="19">
        <v>41</v>
      </c>
      <c r="AP5" s="19">
        <v>42</v>
      </c>
      <c r="AQ5" s="19">
        <v>43</v>
      </c>
      <c r="AR5" s="19">
        <v>44</v>
      </c>
      <c r="AS5" s="19">
        <v>45</v>
      </c>
      <c r="AT5" s="19">
        <v>46</v>
      </c>
      <c r="AU5" s="19">
        <v>47</v>
      </c>
      <c r="AV5" s="19">
        <v>48</v>
      </c>
      <c r="AW5" s="19">
        <v>49</v>
      </c>
      <c r="AX5" s="19">
        <v>50</v>
      </c>
      <c r="AY5" s="19">
        <v>51</v>
      </c>
      <c r="AZ5" s="19">
        <v>52</v>
      </c>
      <c r="BA5" s="19">
        <v>53</v>
      </c>
      <c r="BB5" s="19">
        <v>54</v>
      </c>
      <c r="BC5" s="19">
        <v>55</v>
      </c>
      <c r="BD5" s="19">
        <v>56</v>
      </c>
      <c r="BE5" s="19">
        <v>57</v>
      </c>
      <c r="BF5" s="19">
        <v>58</v>
      </c>
      <c r="BG5" s="19">
        <v>59</v>
      </c>
      <c r="BH5" s="19">
        <v>60</v>
      </c>
      <c r="BI5" s="19">
        <v>61</v>
      </c>
      <c r="BJ5" s="19">
        <v>62</v>
      </c>
      <c r="BK5" s="19">
        <v>63</v>
      </c>
      <c r="BL5" s="19">
        <v>64</v>
      </c>
      <c r="BM5" s="19">
        <v>65</v>
      </c>
      <c r="BN5" s="19">
        <v>66</v>
      </c>
      <c r="BO5" s="19">
        <v>67</v>
      </c>
      <c r="BP5" s="19">
        <v>68</v>
      </c>
      <c r="BQ5" s="19">
        <v>69</v>
      </c>
      <c r="BR5" s="19">
        <v>70</v>
      </c>
      <c r="BS5" s="19">
        <v>71</v>
      </c>
      <c r="BT5" s="19">
        <v>72</v>
      </c>
      <c r="BU5" s="19">
        <v>73</v>
      </c>
      <c r="BV5" s="19">
        <v>74</v>
      </c>
      <c r="BW5" s="19">
        <v>75</v>
      </c>
      <c r="BX5" s="19">
        <v>76</v>
      </c>
      <c r="BY5" s="19">
        <v>77</v>
      </c>
      <c r="BZ5" s="19">
        <v>78</v>
      </c>
      <c r="CA5" s="19">
        <v>79</v>
      </c>
      <c r="CB5" s="19">
        <v>80</v>
      </c>
      <c r="CC5" s="19">
        <v>81</v>
      </c>
      <c r="CD5" s="19">
        <v>82</v>
      </c>
      <c r="CE5" s="19">
        <v>83</v>
      </c>
      <c r="CF5" s="19">
        <v>84</v>
      </c>
      <c r="CG5" s="19">
        <v>85</v>
      </c>
      <c r="CH5" s="19">
        <v>86</v>
      </c>
      <c r="CI5" s="19">
        <v>87</v>
      </c>
      <c r="CJ5" s="19">
        <v>88</v>
      </c>
      <c r="CK5" s="19">
        <v>89</v>
      </c>
      <c r="CL5" s="19">
        <v>90</v>
      </c>
      <c r="CM5" s="19">
        <v>91</v>
      </c>
      <c r="CN5" s="19">
        <v>92</v>
      </c>
      <c r="CO5" s="19">
        <v>93</v>
      </c>
      <c r="CP5" s="19">
        <v>94</v>
      </c>
      <c r="CQ5" s="19">
        <v>95</v>
      </c>
      <c r="CR5" s="19">
        <v>96</v>
      </c>
      <c r="CS5" s="19">
        <v>97</v>
      </c>
      <c r="CT5" s="19">
        <v>98</v>
      </c>
      <c r="CU5" s="19">
        <v>99</v>
      </c>
      <c r="CV5" s="19">
        <v>100</v>
      </c>
      <c r="CW5" s="19">
        <v>101</v>
      </c>
      <c r="CX5" s="19">
        <v>102</v>
      </c>
      <c r="CY5" s="19">
        <v>103</v>
      </c>
      <c r="CZ5" s="19">
        <v>104</v>
      </c>
      <c r="DA5" s="19">
        <v>105</v>
      </c>
      <c r="DB5" s="19">
        <v>106</v>
      </c>
      <c r="DC5" s="19">
        <v>107</v>
      </c>
      <c r="DD5" s="19">
        <v>108</v>
      </c>
      <c r="DE5" s="19">
        <v>109</v>
      </c>
      <c r="DF5" s="19">
        <v>110</v>
      </c>
      <c r="DG5" s="19">
        <v>111</v>
      </c>
      <c r="DH5" s="19">
        <v>112</v>
      </c>
      <c r="DI5" s="19">
        <v>113</v>
      </c>
      <c r="DJ5" s="19">
        <v>114</v>
      </c>
      <c r="DK5" s="19">
        <v>115</v>
      </c>
      <c r="DL5" s="19">
        <v>116</v>
      </c>
      <c r="DM5" s="19">
        <v>117</v>
      </c>
      <c r="DN5" s="19">
        <v>118</v>
      </c>
      <c r="DO5" s="19">
        <v>119</v>
      </c>
      <c r="DP5" s="19">
        <v>120</v>
      </c>
      <c r="DQ5" s="19">
        <v>121</v>
      </c>
      <c r="DR5" s="19">
        <v>122</v>
      </c>
      <c r="DS5" s="19">
        <v>123</v>
      </c>
      <c r="DT5" s="19">
        <v>124</v>
      </c>
    </row>
    <row r="6" spans="1:124" s="43" customFormat="1" x14ac:dyDescent="0.25">
      <c r="A6" s="41"/>
      <c r="B6" s="42" t="s">
        <v>287</v>
      </c>
      <c r="C6" s="42" t="s">
        <v>260</v>
      </c>
      <c r="D6" s="41" t="s">
        <v>310</v>
      </c>
      <c r="E6" s="41" t="s">
        <v>626</v>
      </c>
      <c r="F6" s="41" t="s">
        <v>627</v>
      </c>
      <c r="G6" s="41" t="s">
        <v>628</v>
      </c>
      <c r="H6" s="42" t="s">
        <v>258</v>
      </c>
      <c r="I6" s="42" t="s">
        <v>236</v>
      </c>
      <c r="J6" s="42" t="s">
        <v>629</v>
      </c>
      <c r="K6" s="42" t="s">
        <v>312</v>
      </c>
      <c r="L6" s="42" t="s">
        <v>630</v>
      </c>
      <c r="M6" s="42" t="s">
        <v>631</v>
      </c>
      <c r="N6" s="42" t="s">
        <v>632</v>
      </c>
      <c r="O6" s="42" t="s">
        <v>633</v>
      </c>
      <c r="P6" s="42" t="s">
        <v>634</v>
      </c>
      <c r="Q6" s="42" t="s">
        <v>635</v>
      </c>
      <c r="R6" s="42" t="s">
        <v>636</v>
      </c>
      <c r="S6" s="42" t="s">
        <v>283</v>
      </c>
      <c r="T6" s="42" t="s">
        <v>246</v>
      </c>
      <c r="U6" s="42" t="s">
        <v>637</v>
      </c>
      <c r="V6" s="42" t="s">
        <v>311</v>
      </c>
      <c r="W6" s="42" t="s">
        <v>638</v>
      </c>
      <c r="X6" s="42" t="s">
        <v>639</v>
      </c>
      <c r="Y6" s="42" t="s">
        <v>640</v>
      </c>
      <c r="Z6" s="42" t="s">
        <v>256</v>
      </c>
      <c r="AA6" s="42" t="s">
        <v>238</v>
      </c>
      <c r="AB6" s="42" t="s">
        <v>641</v>
      </c>
      <c r="AC6" s="42" t="s">
        <v>316</v>
      </c>
      <c r="AD6" s="42" t="s">
        <v>642</v>
      </c>
      <c r="AE6" s="42" t="s">
        <v>643</v>
      </c>
      <c r="AF6" s="42" t="s">
        <v>644</v>
      </c>
      <c r="AG6" s="42" t="s">
        <v>289</v>
      </c>
      <c r="AH6" s="42" t="s">
        <v>252</v>
      </c>
      <c r="AI6" s="42" t="s">
        <v>645</v>
      </c>
      <c r="AJ6" s="41" t="s">
        <v>646</v>
      </c>
      <c r="AK6" s="42" t="s">
        <v>229</v>
      </c>
      <c r="AL6" s="41" t="s">
        <v>647</v>
      </c>
      <c r="AM6" s="42" t="s">
        <v>230</v>
      </c>
      <c r="AN6" s="42" t="s">
        <v>318</v>
      </c>
      <c r="AO6" s="42" t="s">
        <v>648</v>
      </c>
      <c r="AP6" s="42" t="s">
        <v>649</v>
      </c>
      <c r="AQ6" s="42" t="s">
        <v>650</v>
      </c>
      <c r="AR6" s="42" t="s">
        <v>317</v>
      </c>
      <c r="AS6" s="42" t="s">
        <v>651</v>
      </c>
      <c r="AT6" s="42" t="s">
        <v>652</v>
      </c>
      <c r="AU6" s="42" t="s">
        <v>653</v>
      </c>
      <c r="AV6" s="42" t="s">
        <v>319</v>
      </c>
      <c r="AW6" s="42" t="s">
        <v>654</v>
      </c>
      <c r="AX6" s="42" t="s">
        <v>655</v>
      </c>
      <c r="AY6" s="42" t="s">
        <v>656</v>
      </c>
      <c r="AZ6" s="42" t="s">
        <v>320</v>
      </c>
      <c r="BA6" s="42" t="s">
        <v>657</v>
      </c>
      <c r="BB6" s="42" t="s">
        <v>658</v>
      </c>
      <c r="BC6" s="42" t="s">
        <v>659</v>
      </c>
      <c r="BD6" s="42" t="s">
        <v>313</v>
      </c>
      <c r="BE6" s="42" t="s">
        <v>660</v>
      </c>
      <c r="BF6" s="42" t="s">
        <v>661</v>
      </c>
      <c r="BG6" s="42" t="s">
        <v>662</v>
      </c>
      <c r="BH6" s="42" t="s">
        <v>275</v>
      </c>
      <c r="BI6" s="42" t="s">
        <v>276</v>
      </c>
      <c r="BJ6" s="42" t="s">
        <v>663</v>
      </c>
      <c r="BK6" s="42" t="s">
        <v>664</v>
      </c>
      <c r="BL6" s="41" t="s">
        <v>665</v>
      </c>
      <c r="BM6" s="41" t="s">
        <v>269</v>
      </c>
      <c r="BN6" s="41" t="s">
        <v>666</v>
      </c>
      <c r="BO6" s="41" t="s">
        <v>667</v>
      </c>
      <c r="BP6" s="42" t="s">
        <v>263</v>
      </c>
      <c r="BQ6" s="42" t="s">
        <v>668</v>
      </c>
      <c r="BR6" s="42" t="s">
        <v>669</v>
      </c>
      <c r="BS6" s="42" t="s">
        <v>670</v>
      </c>
      <c r="BT6" s="42" t="s">
        <v>265</v>
      </c>
      <c r="BU6" s="42" t="s">
        <v>671</v>
      </c>
      <c r="BV6" s="42" t="s">
        <v>672</v>
      </c>
      <c r="BW6" s="42" t="s">
        <v>673</v>
      </c>
      <c r="BX6" s="42" t="s">
        <v>267</v>
      </c>
      <c r="BY6" s="42" t="s">
        <v>674</v>
      </c>
      <c r="BZ6" s="42" t="s">
        <v>675</v>
      </c>
      <c r="CA6" s="42" t="s">
        <v>676</v>
      </c>
      <c r="CB6" s="42" t="s">
        <v>677</v>
      </c>
      <c r="CC6" s="42" t="s">
        <v>678</v>
      </c>
      <c r="CD6" s="42" t="s">
        <v>679</v>
      </c>
      <c r="CE6" s="42" t="s">
        <v>680</v>
      </c>
      <c r="CF6" s="42" t="s">
        <v>681</v>
      </c>
      <c r="CG6" s="42" t="s">
        <v>682</v>
      </c>
      <c r="CH6" s="42" t="s">
        <v>683</v>
      </c>
      <c r="CI6" s="42" t="s">
        <v>232</v>
      </c>
      <c r="CJ6" s="42" t="s">
        <v>240</v>
      </c>
      <c r="CK6" s="42" t="s">
        <v>684</v>
      </c>
      <c r="CL6" s="42" t="s">
        <v>685</v>
      </c>
      <c r="CM6" s="42" t="s">
        <v>686</v>
      </c>
      <c r="CN6" s="42" t="s">
        <v>687</v>
      </c>
      <c r="CO6" s="42" t="s">
        <v>688</v>
      </c>
      <c r="CP6" s="42" t="s">
        <v>279</v>
      </c>
      <c r="CQ6" s="42" t="s">
        <v>244</v>
      </c>
      <c r="CR6" s="42" t="s">
        <v>689</v>
      </c>
      <c r="CS6" s="42" t="s">
        <v>690</v>
      </c>
      <c r="CT6" s="42" t="s">
        <v>691</v>
      </c>
      <c r="CU6" s="42" t="s">
        <v>692</v>
      </c>
      <c r="CV6" s="42" t="s">
        <v>693</v>
      </c>
      <c r="CW6" s="42" t="s">
        <v>273</v>
      </c>
      <c r="CX6" s="42" t="s">
        <v>242</v>
      </c>
      <c r="CY6" s="42" t="s">
        <v>694</v>
      </c>
      <c r="CZ6" s="42" t="s">
        <v>314</v>
      </c>
      <c r="DA6" s="42" t="s">
        <v>695</v>
      </c>
      <c r="DB6" s="42" t="s">
        <v>696</v>
      </c>
      <c r="DC6" s="42" t="s">
        <v>697</v>
      </c>
      <c r="DD6" s="42" t="s">
        <v>271</v>
      </c>
      <c r="DE6" s="42" t="s">
        <v>250</v>
      </c>
      <c r="DF6" s="42" t="s">
        <v>698</v>
      </c>
      <c r="DG6" s="42" t="s">
        <v>315</v>
      </c>
      <c r="DH6" s="42" t="s">
        <v>699</v>
      </c>
      <c r="DI6" s="42" t="s">
        <v>700</v>
      </c>
      <c r="DJ6" s="42" t="s">
        <v>701</v>
      </c>
      <c r="DK6" s="42" t="s">
        <v>285</v>
      </c>
      <c r="DL6" s="42" t="s">
        <v>254</v>
      </c>
      <c r="DM6" s="42" t="s">
        <v>702</v>
      </c>
      <c r="DN6" s="42" t="s">
        <v>703</v>
      </c>
      <c r="DO6" s="42" t="s">
        <v>704</v>
      </c>
      <c r="DP6" s="42" t="s">
        <v>705</v>
      </c>
      <c r="DQ6" s="42" t="s">
        <v>706</v>
      </c>
      <c r="DR6" s="42" t="s">
        <v>281</v>
      </c>
      <c r="DS6" s="42" t="s">
        <v>248</v>
      </c>
      <c r="DT6" s="42" t="s">
        <v>707</v>
      </c>
    </row>
    <row r="7" spans="1:124" s="43" customFormat="1" x14ac:dyDescent="0.25">
      <c r="A7" s="41"/>
      <c r="B7" s="42" t="s">
        <v>286</v>
      </c>
      <c r="C7" s="42" t="s">
        <v>261</v>
      </c>
      <c r="D7" s="41" t="s">
        <v>712</v>
      </c>
      <c r="E7" s="41" t="s">
        <v>713</v>
      </c>
      <c r="F7" s="41" t="s">
        <v>714</v>
      </c>
      <c r="G7" s="41" t="s">
        <v>763</v>
      </c>
      <c r="H7" s="42" t="s">
        <v>259</v>
      </c>
      <c r="I7" s="42" t="s">
        <v>237</v>
      </c>
      <c r="J7" s="42" t="s">
        <v>765</v>
      </c>
      <c r="K7" s="42" t="s">
        <v>715</v>
      </c>
      <c r="L7" s="42" t="s">
        <v>716</v>
      </c>
      <c r="M7" s="42" t="s">
        <v>717</v>
      </c>
      <c r="N7" s="42" t="s">
        <v>764</v>
      </c>
      <c r="O7" s="42" t="s">
        <v>718</v>
      </c>
      <c r="P7" s="42" t="s">
        <v>719</v>
      </c>
      <c r="Q7" s="42" t="s">
        <v>720</v>
      </c>
      <c r="R7" s="42" t="s">
        <v>766</v>
      </c>
      <c r="S7" s="42" t="s">
        <v>282</v>
      </c>
      <c r="T7" s="42" t="s">
        <v>247</v>
      </c>
      <c r="U7" s="42" t="s">
        <v>767</v>
      </c>
      <c r="V7" s="42" t="s">
        <v>721</v>
      </c>
      <c r="W7" s="42" t="s">
        <v>722</v>
      </c>
      <c r="X7" s="42" t="s">
        <v>723</v>
      </c>
      <c r="Y7" s="42" t="s">
        <v>768</v>
      </c>
      <c r="Z7" s="42" t="s">
        <v>257</v>
      </c>
      <c r="AA7" s="42" t="s">
        <v>239</v>
      </c>
      <c r="AB7" s="42" t="s">
        <v>769</v>
      </c>
      <c r="AC7" s="42" t="s">
        <v>724</v>
      </c>
      <c r="AD7" s="42" t="s">
        <v>725</v>
      </c>
      <c r="AE7" s="42" t="s">
        <v>726</v>
      </c>
      <c r="AF7" s="42" t="s">
        <v>770</v>
      </c>
      <c r="AG7" s="42" t="s">
        <v>288</v>
      </c>
      <c r="AH7" s="42" t="s">
        <v>253</v>
      </c>
      <c r="AI7" s="42" t="s">
        <v>771</v>
      </c>
      <c r="AJ7" s="41" t="s">
        <v>794</v>
      </c>
      <c r="AK7" s="42" t="s">
        <v>228</v>
      </c>
      <c r="AL7" s="41" t="s">
        <v>795</v>
      </c>
      <c r="AM7" s="42" t="s">
        <v>231</v>
      </c>
      <c r="AN7" s="42" t="s">
        <v>727</v>
      </c>
      <c r="AO7" s="42" t="s">
        <v>728</v>
      </c>
      <c r="AP7" s="42" t="s">
        <v>729</v>
      </c>
      <c r="AQ7" s="42" t="s">
        <v>796</v>
      </c>
      <c r="AR7" s="42" t="s">
        <v>730</v>
      </c>
      <c r="AS7" s="42" t="s">
        <v>731</v>
      </c>
      <c r="AT7" s="42" t="s">
        <v>732</v>
      </c>
      <c r="AU7" s="42" t="s">
        <v>772</v>
      </c>
      <c r="AV7" s="42" t="s">
        <v>733</v>
      </c>
      <c r="AW7" s="42" t="s">
        <v>734</v>
      </c>
      <c r="AX7" s="42" t="s">
        <v>735</v>
      </c>
      <c r="AY7" s="42" t="s">
        <v>773</v>
      </c>
      <c r="AZ7" s="42" t="s">
        <v>736</v>
      </c>
      <c r="BA7" s="42" t="s">
        <v>737</v>
      </c>
      <c r="BB7" s="42" t="s">
        <v>738</v>
      </c>
      <c r="BC7" s="42" t="s">
        <v>774</v>
      </c>
      <c r="BD7" s="42" t="s">
        <v>739</v>
      </c>
      <c r="BE7" s="42" t="s">
        <v>740</v>
      </c>
      <c r="BF7" s="42" t="s">
        <v>741</v>
      </c>
      <c r="BG7" s="42" t="s">
        <v>775</v>
      </c>
      <c r="BH7" s="42" t="s">
        <v>274</v>
      </c>
      <c r="BI7" s="42" t="s">
        <v>277</v>
      </c>
      <c r="BJ7" s="42" t="s">
        <v>776</v>
      </c>
      <c r="BK7" s="41" t="s">
        <v>797</v>
      </c>
      <c r="BL7" s="41" t="s">
        <v>708</v>
      </c>
      <c r="BM7" s="41" t="s">
        <v>268</v>
      </c>
      <c r="BN7" s="41" t="s">
        <v>777</v>
      </c>
      <c r="BO7" s="42" t="s">
        <v>798</v>
      </c>
      <c r="BP7" s="42" t="s">
        <v>262</v>
      </c>
      <c r="BQ7" s="42" t="s">
        <v>709</v>
      </c>
      <c r="BR7" s="42" t="s">
        <v>778</v>
      </c>
      <c r="BS7" s="42" t="s">
        <v>799</v>
      </c>
      <c r="BT7" s="42" t="s">
        <v>264</v>
      </c>
      <c r="BU7" s="42" t="s">
        <v>710</v>
      </c>
      <c r="BV7" s="42" t="s">
        <v>779</v>
      </c>
      <c r="BW7" s="42" t="s">
        <v>800</v>
      </c>
      <c r="BX7" s="42" t="s">
        <v>266</v>
      </c>
      <c r="BY7" s="42" t="s">
        <v>711</v>
      </c>
      <c r="BZ7" s="42" t="s">
        <v>780</v>
      </c>
      <c r="CA7" s="42" t="s">
        <v>742</v>
      </c>
      <c r="CB7" s="42" t="s">
        <v>743</v>
      </c>
      <c r="CC7" s="42" t="s">
        <v>744</v>
      </c>
      <c r="CD7" s="42" t="s">
        <v>783</v>
      </c>
      <c r="CE7" s="42" t="s">
        <v>745</v>
      </c>
      <c r="CF7" s="42" t="s">
        <v>746</v>
      </c>
      <c r="CG7" s="42" t="s">
        <v>747</v>
      </c>
      <c r="CH7" s="42" t="s">
        <v>782</v>
      </c>
      <c r="CI7" s="42" t="s">
        <v>233</v>
      </c>
      <c r="CJ7" s="42" t="s">
        <v>241</v>
      </c>
      <c r="CK7" s="42" t="s">
        <v>781</v>
      </c>
      <c r="CL7" s="42" t="s">
        <v>748</v>
      </c>
      <c r="CM7" s="42" t="s">
        <v>749</v>
      </c>
      <c r="CN7" s="42" t="s">
        <v>750</v>
      </c>
      <c r="CO7" s="42" t="s">
        <v>784</v>
      </c>
      <c r="CP7" s="42" t="s">
        <v>278</v>
      </c>
      <c r="CQ7" s="42" t="s">
        <v>245</v>
      </c>
      <c r="CR7" s="42" t="s">
        <v>785</v>
      </c>
      <c r="CS7" s="42" t="s">
        <v>751</v>
      </c>
      <c r="CT7" s="42" t="s">
        <v>752</v>
      </c>
      <c r="CU7" s="42" t="s">
        <v>753</v>
      </c>
      <c r="CV7" s="42" t="s">
        <v>786</v>
      </c>
      <c r="CW7" s="42" t="s">
        <v>272</v>
      </c>
      <c r="CX7" s="42" t="s">
        <v>243</v>
      </c>
      <c r="CY7" s="42" t="s">
        <v>787</v>
      </c>
      <c r="CZ7" s="42" t="s">
        <v>754</v>
      </c>
      <c r="DA7" s="42" t="s">
        <v>755</v>
      </c>
      <c r="DB7" s="42" t="s">
        <v>756</v>
      </c>
      <c r="DC7" s="42" t="s">
        <v>788</v>
      </c>
      <c r="DD7" s="42" t="s">
        <v>270</v>
      </c>
      <c r="DE7" s="42" t="s">
        <v>251</v>
      </c>
      <c r="DF7" s="42" t="s">
        <v>793</v>
      </c>
      <c r="DG7" s="42" t="s">
        <v>760</v>
      </c>
      <c r="DH7" s="42" t="s">
        <v>761</v>
      </c>
      <c r="DI7" s="42" t="s">
        <v>762</v>
      </c>
      <c r="DJ7" s="42" t="s">
        <v>792</v>
      </c>
      <c r="DK7" s="42" t="s">
        <v>284</v>
      </c>
      <c r="DL7" s="42" t="s">
        <v>255</v>
      </c>
      <c r="DM7" s="42" t="s">
        <v>791</v>
      </c>
      <c r="DN7" s="42" t="s">
        <v>757</v>
      </c>
      <c r="DO7" s="42" t="s">
        <v>758</v>
      </c>
      <c r="DP7" s="42" t="s">
        <v>759</v>
      </c>
      <c r="DQ7" s="42" t="s">
        <v>790</v>
      </c>
      <c r="DR7" s="42" t="s">
        <v>280</v>
      </c>
      <c r="DS7" s="42" t="s">
        <v>249</v>
      </c>
      <c r="DT7" s="42" t="s">
        <v>789</v>
      </c>
    </row>
    <row r="8" spans="1:124" x14ac:dyDescent="0.25"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</row>
    <row r="9" spans="1:124" x14ac:dyDescent="0.25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</row>
  </sheetData>
  <mergeCells count="79">
    <mergeCell ref="DN1:DT1"/>
    <mergeCell ref="DN2:DQ2"/>
    <mergeCell ref="DR2:DT2"/>
    <mergeCell ref="DN3:DP3"/>
    <mergeCell ref="DR3:DS3"/>
    <mergeCell ref="CS1:CY1"/>
    <mergeCell ref="CS2:CV2"/>
    <mergeCell ref="CW2:CY2"/>
    <mergeCell ref="CS3:CU3"/>
    <mergeCell ref="CW3:CX3"/>
    <mergeCell ref="CL1:CR1"/>
    <mergeCell ref="CL2:CO2"/>
    <mergeCell ref="CP2:CR2"/>
    <mergeCell ref="CL3:CN3"/>
    <mergeCell ref="CP3:CQ3"/>
    <mergeCell ref="CZ1:DF1"/>
    <mergeCell ref="CZ2:DC2"/>
    <mergeCell ref="DD2:DF2"/>
    <mergeCell ref="CZ3:DB3"/>
    <mergeCell ref="DD3:DE3"/>
    <mergeCell ref="DG1:DM1"/>
    <mergeCell ref="DG2:DJ2"/>
    <mergeCell ref="DK2:DM2"/>
    <mergeCell ref="DG3:DI3"/>
    <mergeCell ref="DK3:DL3"/>
    <mergeCell ref="CA1:CK1"/>
    <mergeCell ref="CA2:CD2"/>
    <mergeCell ref="CE2:CH2"/>
    <mergeCell ref="CI2:CK2"/>
    <mergeCell ref="BD2:BG2"/>
    <mergeCell ref="AJ1:BZ1"/>
    <mergeCell ref="BH2:BJ2"/>
    <mergeCell ref="AR2:AU2"/>
    <mergeCell ref="BK2:BN2"/>
    <mergeCell ref="AV2:AY2"/>
    <mergeCell ref="AZ2:BC2"/>
    <mergeCell ref="AN2:AQ2"/>
    <mergeCell ref="AJ2:AM2"/>
    <mergeCell ref="CE3:CG3"/>
    <mergeCell ref="BO2:BR2"/>
    <mergeCell ref="BO3:BQ3"/>
    <mergeCell ref="BS2:BV2"/>
    <mergeCell ref="BS3:BU3"/>
    <mergeCell ref="BW2:BZ2"/>
    <mergeCell ref="BW3:BY3"/>
    <mergeCell ref="AZ3:BB3"/>
    <mergeCell ref="AR3:AT3"/>
    <mergeCell ref="BD3:BF3"/>
    <mergeCell ref="CA3:CC3"/>
    <mergeCell ref="AL3:AM3"/>
    <mergeCell ref="AN3:AP3"/>
    <mergeCell ref="AV3:AX3"/>
    <mergeCell ref="BK3:BM3"/>
    <mergeCell ref="BH3:BI3"/>
    <mergeCell ref="A1:A4"/>
    <mergeCell ref="K2:N2"/>
    <mergeCell ref="K3:M3"/>
    <mergeCell ref="O2:R2"/>
    <mergeCell ref="O3:Q3"/>
    <mergeCell ref="K1:U1"/>
    <mergeCell ref="H3:I3"/>
    <mergeCell ref="B1:C1"/>
    <mergeCell ref="D3:F3"/>
    <mergeCell ref="D2:G2"/>
    <mergeCell ref="H2:J2"/>
    <mergeCell ref="D1:J1"/>
    <mergeCell ref="S3:T3"/>
    <mergeCell ref="AJ3:AK3"/>
    <mergeCell ref="AG3:AH3"/>
    <mergeCell ref="S2:U2"/>
    <mergeCell ref="AC1:AI1"/>
    <mergeCell ref="AC2:AF2"/>
    <mergeCell ref="AG2:AI2"/>
    <mergeCell ref="AC3:AE3"/>
    <mergeCell ref="Z3:AA3"/>
    <mergeCell ref="V1:AB1"/>
    <mergeCell ref="V2:Y2"/>
    <mergeCell ref="Z2:AB2"/>
    <mergeCell ref="V3:X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SheetToCSV">
                <anchor moveWithCells="1" sizeWithCells="1">
                  <from>
                    <xdr:col>1</xdr:col>
                    <xdr:colOff>171450</xdr:colOff>
                    <xdr:row>13</xdr:row>
                    <xdr:rowOff>123825</xdr:rowOff>
                  </from>
                  <to>
                    <xdr:col>6</xdr:col>
                    <xdr:colOff>228600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4306" divId="режимка_4306" sourceType="range" sourceRef="A1:DT6" destinationFile="C:\Users\Alex\source\OASK-GTP-2\Новая папка\режимка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T8"/>
  <sheetViews>
    <sheetView zoomScaleNormal="100" workbookViewId="0">
      <selection activeCell="G23" sqref="G23"/>
    </sheetView>
  </sheetViews>
  <sheetFormatPr defaultRowHeight="15" x14ac:dyDescent="0.25"/>
  <cols>
    <col min="1" max="1" width="19.140625" bestFit="1" customWidth="1"/>
    <col min="2" max="2" width="10" bestFit="1" customWidth="1"/>
    <col min="3" max="3" width="9.85546875" bestFit="1" customWidth="1"/>
    <col min="4" max="4" width="7.85546875" bestFit="1" customWidth="1"/>
    <col min="5" max="5" width="7.5703125" bestFit="1" customWidth="1"/>
    <col min="6" max="6" width="10" bestFit="1" customWidth="1"/>
    <col min="7" max="7" width="9.85546875" bestFit="1" customWidth="1"/>
    <col min="8" max="8" width="7.85546875" bestFit="1" customWidth="1"/>
    <col min="9" max="9" width="10.140625" bestFit="1" customWidth="1"/>
    <col min="10" max="10" width="10" bestFit="1" customWidth="1"/>
    <col min="11" max="11" width="7.5703125" bestFit="1" customWidth="1"/>
    <col min="12" max="12" width="10" style="12" bestFit="1" customWidth="1"/>
    <col min="13" max="13" width="9.85546875" style="12" bestFit="1" customWidth="1"/>
    <col min="14" max="14" width="7.85546875" style="12" bestFit="1" customWidth="1"/>
    <col min="15" max="15" width="10.140625" style="12" bestFit="1" customWidth="1"/>
    <col min="16" max="16" width="10" bestFit="1" customWidth="1"/>
    <col min="17" max="17" width="7.5703125" bestFit="1" customWidth="1"/>
    <col min="18" max="18" width="10" bestFit="1" customWidth="1"/>
    <col min="19" max="19" width="9.85546875" bestFit="1" customWidth="1"/>
    <col min="20" max="20" width="7.85546875" bestFit="1" customWidth="1"/>
    <col min="21" max="21" width="10.140625" bestFit="1" customWidth="1"/>
    <col min="22" max="22" width="10" bestFit="1" customWidth="1"/>
    <col min="23" max="23" width="7.5703125" bestFit="1" customWidth="1"/>
    <col min="24" max="24" width="10" bestFit="1" customWidth="1"/>
    <col min="25" max="25" width="9.85546875" bestFit="1" customWidth="1"/>
    <col min="26" max="26" width="7.85546875" bestFit="1" customWidth="1"/>
    <col min="27" max="27" width="10.140625" bestFit="1" customWidth="1"/>
    <col min="28" max="28" width="10" bestFit="1" customWidth="1"/>
    <col min="29" max="29" width="7.5703125" bestFit="1" customWidth="1"/>
    <col min="30" max="30" width="10" bestFit="1" customWidth="1"/>
    <col min="31" max="31" width="9.85546875" bestFit="1" customWidth="1"/>
    <col min="32" max="32" width="7.85546875" bestFit="1" customWidth="1"/>
    <col min="33" max="33" width="10.140625" bestFit="1" customWidth="1"/>
    <col min="34" max="34" width="10" bestFit="1" customWidth="1"/>
    <col min="35" max="35" width="7.5703125" bestFit="1" customWidth="1"/>
    <col min="36" max="36" width="10" bestFit="1" customWidth="1"/>
    <col min="37" max="37" width="9.85546875" bestFit="1" customWidth="1"/>
    <col min="38" max="38" width="7.85546875" bestFit="1" customWidth="1"/>
    <col min="39" max="39" width="10.140625" bestFit="1" customWidth="1"/>
    <col min="40" max="40" width="10" bestFit="1" customWidth="1"/>
    <col min="41" max="41" width="7.5703125" bestFit="1" customWidth="1"/>
    <col min="42" max="42" width="10" bestFit="1" customWidth="1"/>
    <col min="43" max="43" width="9.85546875" bestFit="1" customWidth="1"/>
    <col min="44" max="44" width="7.85546875" bestFit="1" customWidth="1"/>
    <col min="45" max="45" width="10.140625" bestFit="1" customWidth="1"/>
    <col min="46" max="46" width="10" bestFit="1" customWidth="1"/>
    <col min="47" max="47" width="7.5703125" bestFit="1" customWidth="1"/>
    <col min="48" max="48" width="10" bestFit="1" customWidth="1"/>
    <col min="49" max="49" width="9.85546875" bestFit="1" customWidth="1"/>
    <col min="50" max="50" width="7.85546875" bestFit="1" customWidth="1"/>
    <col min="51" max="51" width="10.140625" bestFit="1" customWidth="1"/>
    <col min="52" max="52" width="10" bestFit="1" customWidth="1"/>
    <col min="53" max="53" width="7.5703125" bestFit="1" customWidth="1"/>
    <col min="54" max="54" width="10" bestFit="1" customWidth="1"/>
    <col min="55" max="55" width="9.85546875" bestFit="1" customWidth="1"/>
    <col min="56" max="56" width="7.85546875" bestFit="1" customWidth="1"/>
    <col min="57" max="57" width="10.140625" bestFit="1" customWidth="1"/>
    <col min="58" max="58" width="10" bestFit="1" customWidth="1"/>
    <col min="59" max="59" width="7.5703125" bestFit="1" customWidth="1"/>
    <col min="60" max="60" width="10" bestFit="1" customWidth="1"/>
    <col min="61" max="61" width="9.85546875" bestFit="1" customWidth="1"/>
    <col min="62" max="62" width="7.85546875" bestFit="1" customWidth="1"/>
    <col min="63" max="63" width="10.140625" bestFit="1" customWidth="1"/>
    <col min="64" max="64" width="10" bestFit="1" customWidth="1"/>
    <col min="65" max="65" width="12.7109375" bestFit="1" customWidth="1"/>
    <col min="66" max="67" width="7.5703125" bestFit="1" customWidth="1"/>
    <col min="68" max="68" width="10" bestFit="1" customWidth="1"/>
    <col min="69" max="69" width="9.85546875" bestFit="1" customWidth="1"/>
    <col min="70" max="70" width="7.85546875" bestFit="1" customWidth="1"/>
    <col min="71" max="71" width="10.140625" bestFit="1" customWidth="1"/>
    <col min="72" max="72" width="10" bestFit="1" customWidth="1"/>
  </cols>
  <sheetData>
    <row r="1" spans="1:72" s="4" customFormat="1" x14ac:dyDescent="0.25">
      <c r="A1" s="52" t="s">
        <v>56</v>
      </c>
      <c r="B1" s="52" t="s">
        <v>71</v>
      </c>
      <c r="C1" s="52"/>
      <c r="D1" s="52"/>
      <c r="E1" s="53" t="s">
        <v>70</v>
      </c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 t="s">
        <v>69</v>
      </c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 t="s">
        <v>68</v>
      </c>
      <c r="AP1" s="52"/>
      <c r="AQ1" s="52"/>
      <c r="AR1" s="52"/>
      <c r="AS1" s="52"/>
      <c r="AT1" s="52"/>
      <c r="AU1" s="52" t="s">
        <v>67</v>
      </c>
      <c r="AV1" s="52"/>
      <c r="AW1" s="52"/>
      <c r="AX1" s="52"/>
      <c r="AY1" s="52"/>
      <c r="AZ1" s="52"/>
      <c r="BA1" s="52" t="s">
        <v>66</v>
      </c>
      <c r="BB1" s="52"/>
      <c r="BC1" s="52"/>
      <c r="BD1" s="52"/>
      <c r="BE1" s="52"/>
      <c r="BF1" s="52"/>
      <c r="BG1" s="52" t="s">
        <v>65</v>
      </c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</row>
    <row r="2" spans="1:72" s="4" customFormat="1" x14ac:dyDescent="0.25">
      <c r="A2" s="52"/>
      <c r="B2" s="5" t="s">
        <v>53</v>
      </c>
      <c r="C2" s="5" t="s">
        <v>54</v>
      </c>
      <c r="D2" s="5" t="s">
        <v>55</v>
      </c>
      <c r="E2" s="52" t="s">
        <v>34</v>
      </c>
      <c r="F2" s="52"/>
      <c r="G2" s="52"/>
      <c r="H2" s="52"/>
      <c r="I2" s="52"/>
      <c r="J2" s="52"/>
      <c r="K2" s="52" t="s">
        <v>39</v>
      </c>
      <c r="L2" s="52"/>
      <c r="M2" s="52"/>
      <c r="N2" s="52"/>
      <c r="O2" s="52"/>
      <c r="P2" s="52"/>
      <c r="Q2" s="52" t="s">
        <v>37</v>
      </c>
      <c r="R2" s="52"/>
      <c r="S2" s="52"/>
      <c r="T2" s="52"/>
      <c r="U2" s="52"/>
      <c r="V2" s="52"/>
      <c r="W2" s="52" t="s">
        <v>41</v>
      </c>
      <c r="X2" s="52"/>
      <c r="Y2" s="52"/>
      <c r="Z2" s="52"/>
      <c r="AA2" s="52"/>
      <c r="AB2" s="52"/>
      <c r="AC2" s="52" t="s">
        <v>43</v>
      </c>
      <c r="AD2" s="52"/>
      <c r="AE2" s="52"/>
      <c r="AF2" s="52"/>
      <c r="AG2" s="52"/>
      <c r="AH2" s="52"/>
      <c r="AI2" s="52" t="s">
        <v>57</v>
      </c>
      <c r="AJ2" s="52"/>
      <c r="AK2" s="52"/>
      <c r="AL2" s="52"/>
      <c r="AM2" s="52"/>
      <c r="AN2" s="52"/>
      <c r="AO2" s="52" t="s">
        <v>6</v>
      </c>
      <c r="AP2" s="52"/>
      <c r="AQ2" s="52"/>
      <c r="AR2" s="52"/>
      <c r="AS2" s="52"/>
      <c r="AT2" s="52"/>
      <c r="AU2" s="52" t="s">
        <v>58</v>
      </c>
      <c r="AV2" s="52"/>
      <c r="AW2" s="52"/>
      <c r="AX2" s="52"/>
      <c r="AY2" s="52"/>
      <c r="AZ2" s="52"/>
      <c r="BA2" s="52" t="s">
        <v>59</v>
      </c>
      <c r="BB2" s="52"/>
      <c r="BC2" s="52"/>
      <c r="BD2" s="52"/>
      <c r="BE2" s="52"/>
      <c r="BF2" s="52"/>
      <c r="BG2" s="52" t="s">
        <v>60</v>
      </c>
      <c r="BH2" s="52"/>
      <c r="BI2" s="52"/>
      <c r="BJ2" s="52"/>
      <c r="BK2" s="52"/>
      <c r="BL2" s="52"/>
      <c r="BM2" s="52" t="s">
        <v>64</v>
      </c>
      <c r="BN2" s="52"/>
      <c r="BO2" s="52"/>
      <c r="BP2" s="52"/>
      <c r="BQ2" s="52"/>
      <c r="BR2" s="52"/>
      <c r="BS2" s="52"/>
      <c r="BT2" s="52"/>
    </row>
    <row r="3" spans="1:72" s="4" customFormat="1" x14ac:dyDescent="0.25">
      <c r="A3" s="52"/>
      <c r="B3" s="5" t="s">
        <v>47</v>
      </c>
      <c r="C3" s="5" t="s">
        <v>48</v>
      </c>
      <c r="D3" s="5" t="s">
        <v>49</v>
      </c>
      <c r="E3" s="5" t="s">
        <v>50</v>
      </c>
      <c r="F3" s="5" t="s">
        <v>47</v>
      </c>
      <c r="G3" s="5" t="s">
        <v>48</v>
      </c>
      <c r="H3" s="5" t="s">
        <v>49</v>
      </c>
      <c r="I3" s="5" t="s">
        <v>51</v>
      </c>
      <c r="J3" s="5" t="s">
        <v>52</v>
      </c>
      <c r="K3" s="5" t="s">
        <v>50</v>
      </c>
      <c r="L3" s="5" t="s">
        <v>47</v>
      </c>
      <c r="M3" s="5" t="s">
        <v>48</v>
      </c>
      <c r="N3" s="5" t="s">
        <v>49</v>
      </c>
      <c r="O3" s="5" t="s">
        <v>51</v>
      </c>
      <c r="P3" s="5" t="s">
        <v>52</v>
      </c>
      <c r="Q3" s="5" t="s">
        <v>50</v>
      </c>
      <c r="R3" s="5" t="s">
        <v>47</v>
      </c>
      <c r="S3" s="5" t="s">
        <v>48</v>
      </c>
      <c r="T3" s="5" t="s">
        <v>49</v>
      </c>
      <c r="U3" s="5" t="s">
        <v>51</v>
      </c>
      <c r="V3" s="5" t="s">
        <v>52</v>
      </c>
      <c r="W3" s="5" t="s">
        <v>50</v>
      </c>
      <c r="X3" s="5" t="s">
        <v>47</v>
      </c>
      <c r="Y3" s="5" t="s">
        <v>48</v>
      </c>
      <c r="Z3" s="5" t="s">
        <v>49</v>
      </c>
      <c r="AA3" s="5" t="s">
        <v>51</v>
      </c>
      <c r="AB3" s="5" t="s">
        <v>52</v>
      </c>
      <c r="AC3" s="5" t="s">
        <v>50</v>
      </c>
      <c r="AD3" s="5" t="s">
        <v>47</v>
      </c>
      <c r="AE3" s="5" t="s">
        <v>48</v>
      </c>
      <c r="AF3" s="5" t="s">
        <v>49</v>
      </c>
      <c r="AG3" s="5" t="s">
        <v>51</v>
      </c>
      <c r="AH3" s="5" t="s">
        <v>52</v>
      </c>
      <c r="AI3" s="5" t="s">
        <v>50</v>
      </c>
      <c r="AJ3" s="5" t="s">
        <v>47</v>
      </c>
      <c r="AK3" s="5" t="s">
        <v>48</v>
      </c>
      <c r="AL3" s="5" t="s">
        <v>49</v>
      </c>
      <c r="AM3" s="5" t="s">
        <v>51</v>
      </c>
      <c r="AN3" s="5" t="s">
        <v>52</v>
      </c>
      <c r="AO3" s="5" t="s">
        <v>50</v>
      </c>
      <c r="AP3" s="5" t="s">
        <v>47</v>
      </c>
      <c r="AQ3" s="5" t="s">
        <v>48</v>
      </c>
      <c r="AR3" s="5" t="s">
        <v>49</v>
      </c>
      <c r="AS3" s="5" t="s">
        <v>51</v>
      </c>
      <c r="AT3" s="5" t="s">
        <v>52</v>
      </c>
      <c r="AU3" s="5" t="s">
        <v>50</v>
      </c>
      <c r="AV3" s="5" t="s">
        <v>47</v>
      </c>
      <c r="AW3" s="5" t="s">
        <v>48</v>
      </c>
      <c r="AX3" s="5" t="s">
        <v>49</v>
      </c>
      <c r="AY3" s="5" t="s">
        <v>51</v>
      </c>
      <c r="AZ3" s="5" t="s">
        <v>52</v>
      </c>
      <c r="BA3" s="5" t="s">
        <v>50</v>
      </c>
      <c r="BB3" s="5" t="s">
        <v>47</v>
      </c>
      <c r="BC3" s="5" t="s">
        <v>48</v>
      </c>
      <c r="BD3" s="5" t="s">
        <v>49</v>
      </c>
      <c r="BE3" s="5" t="s">
        <v>51</v>
      </c>
      <c r="BF3" s="5" t="s">
        <v>52</v>
      </c>
      <c r="BG3" s="5" t="s">
        <v>50</v>
      </c>
      <c r="BH3" s="5" t="s">
        <v>47</v>
      </c>
      <c r="BI3" s="5" t="s">
        <v>48</v>
      </c>
      <c r="BJ3" s="5" t="s">
        <v>49</v>
      </c>
      <c r="BK3" s="5" t="s">
        <v>51</v>
      </c>
      <c r="BL3" s="5" t="s">
        <v>52</v>
      </c>
      <c r="BM3" s="5" t="s">
        <v>61</v>
      </c>
      <c r="BN3" s="5" t="s">
        <v>62</v>
      </c>
      <c r="BO3" s="5" t="s">
        <v>63</v>
      </c>
      <c r="BP3" s="5" t="s">
        <v>47</v>
      </c>
      <c r="BQ3" s="5" t="s">
        <v>48</v>
      </c>
      <c r="BR3" s="5" t="s">
        <v>49</v>
      </c>
      <c r="BS3" s="5" t="s">
        <v>51</v>
      </c>
      <c r="BT3" s="5" t="s">
        <v>52</v>
      </c>
    </row>
    <row r="4" spans="1:72" x14ac:dyDescent="0.25">
      <c r="A4" s="18">
        <v>1</v>
      </c>
      <c r="B4" s="19">
        <v>2</v>
      </c>
      <c r="C4" s="18">
        <v>3</v>
      </c>
      <c r="D4" s="19">
        <v>4</v>
      </c>
      <c r="E4" s="18">
        <v>5</v>
      </c>
      <c r="F4" s="19">
        <v>6</v>
      </c>
      <c r="G4" s="18">
        <v>7</v>
      </c>
      <c r="H4" s="19">
        <v>8</v>
      </c>
      <c r="I4" s="18">
        <v>9</v>
      </c>
      <c r="J4" s="19">
        <v>10</v>
      </c>
      <c r="K4" s="18">
        <v>11</v>
      </c>
      <c r="L4" s="19">
        <v>12</v>
      </c>
      <c r="M4" s="18">
        <v>13</v>
      </c>
      <c r="N4" s="19">
        <v>14</v>
      </c>
      <c r="O4" s="18">
        <v>15</v>
      </c>
      <c r="P4" s="19">
        <v>16</v>
      </c>
      <c r="Q4" s="18">
        <v>17</v>
      </c>
      <c r="R4" s="19">
        <v>18</v>
      </c>
      <c r="S4" s="18">
        <v>19</v>
      </c>
      <c r="T4" s="19">
        <v>20</v>
      </c>
      <c r="U4" s="18">
        <v>21</v>
      </c>
      <c r="V4" s="19">
        <v>22</v>
      </c>
      <c r="W4" s="18">
        <v>23</v>
      </c>
      <c r="X4" s="19">
        <v>24</v>
      </c>
      <c r="Y4" s="18">
        <v>25</v>
      </c>
      <c r="Z4" s="19">
        <v>26</v>
      </c>
      <c r="AA4" s="18">
        <v>27</v>
      </c>
      <c r="AB4" s="19">
        <v>28</v>
      </c>
      <c r="AC4" s="18">
        <v>29</v>
      </c>
      <c r="AD4" s="19">
        <v>30</v>
      </c>
      <c r="AE4" s="18">
        <v>31</v>
      </c>
      <c r="AF4" s="19">
        <v>32</v>
      </c>
      <c r="AG4" s="18">
        <v>33</v>
      </c>
      <c r="AH4" s="19">
        <v>34</v>
      </c>
      <c r="AI4" s="18">
        <v>35</v>
      </c>
      <c r="AJ4" s="19">
        <v>36</v>
      </c>
      <c r="AK4" s="18">
        <v>37</v>
      </c>
      <c r="AL4" s="19">
        <v>38</v>
      </c>
      <c r="AM4" s="18">
        <v>39</v>
      </c>
      <c r="AN4" s="19">
        <v>40</v>
      </c>
      <c r="AO4" s="18">
        <v>41</v>
      </c>
      <c r="AP4" s="19">
        <v>42</v>
      </c>
      <c r="AQ4" s="18">
        <v>43</v>
      </c>
      <c r="AR4" s="19">
        <v>44</v>
      </c>
      <c r="AS4" s="18">
        <v>45</v>
      </c>
      <c r="AT4" s="19">
        <v>46</v>
      </c>
      <c r="AU4" s="18">
        <v>47</v>
      </c>
      <c r="AV4" s="19">
        <v>48</v>
      </c>
      <c r="AW4" s="18">
        <v>49</v>
      </c>
      <c r="AX4" s="19">
        <v>50</v>
      </c>
      <c r="AY4" s="18">
        <v>51</v>
      </c>
      <c r="AZ4" s="19">
        <v>52</v>
      </c>
      <c r="BA4" s="18">
        <v>53</v>
      </c>
      <c r="BB4" s="19">
        <v>54</v>
      </c>
      <c r="BC4" s="18">
        <v>55</v>
      </c>
      <c r="BD4" s="19">
        <v>56</v>
      </c>
      <c r="BE4" s="18">
        <v>57</v>
      </c>
      <c r="BF4" s="19">
        <v>58</v>
      </c>
      <c r="BG4" s="18">
        <v>59</v>
      </c>
      <c r="BH4" s="19">
        <v>60</v>
      </c>
      <c r="BI4" s="18">
        <v>61</v>
      </c>
      <c r="BJ4" s="19">
        <v>62</v>
      </c>
      <c r="BK4" s="18">
        <v>63</v>
      </c>
      <c r="BL4" s="19">
        <v>64</v>
      </c>
      <c r="BM4" s="18">
        <v>65</v>
      </c>
      <c r="BN4" s="19">
        <v>66</v>
      </c>
      <c r="BO4" s="18">
        <v>67</v>
      </c>
      <c r="BP4" s="19">
        <v>68</v>
      </c>
      <c r="BQ4" s="18">
        <v>69</v>
      </c>
      <c r="BR4" s="19">
        <v>70</v>
      </c>
      <c r="BS4" s="18">
        <v>71</v>
      </c>
      <c r="BT4" s="19">
        <v>72</v>
      </c>
    </row>
    <row r="5" spans="1:72" s="44" customFormat="1" x14ac:dyDescent="0.25">
      <c r="A5" s="2"/>
      <c r="B5" s="41" t="s">
        <v>260</v>
      </c>
      <c r="C5" s="41" t="s">
        <v>287</v>
      </c>
      <c r="D5" s="2" t="s">
        <v>597</v>
      </c>
      <c r="E5" s="45" t="s">
        <v>292</v>
      </c>
      <c r="F5" s="45" t="s">
        <v>240</v>
      </c>
      <c r="G5" s="46" t="s">
        <v>232</v>
      </c>
      <c r="H5" s="45" t="s">
        <v>598</v>
      </c>
      <c r="I5" s="2"/>
      <c r="J5" s="2"/>
      <c r="K5" s="45" t="s">
        <v>294</v>
      </c>
      <c r="L5" s="45" t="s">
        <v>242</v>
      </c>
      <c r="M5" s="46" t="s">
        <v>273</v>
      </c>
      <c r="N5" s="45" t="s">
        <v>599</v>
      </c>
      <c r="O5" s="2"/>
      <c r="P5" s="2"/>
      <c r="Q5" s="45" t="s">
        <v>304</v>
      </c>
      <c r="R5" s="45" t="s">
        <v>244</v>
      </c>
      <c r="S5" s="46" t="s">
        <v>279</v>
      </c>
      <c r="T5" s="45" t="s">
        <v>600</v>
      </c>
      <c r="U5" s="2"/>
      <c r="V5" s="2"/>
      <c r="W5" s="45" t="s">
        <v>306</v>
      </c>
      <c r="X5" s="45" t="s">
        <v>250</v>
      </c>
      <c r="Y5" s="46" t="s">
        <v>271</v>
      </c>
      <c r="Z5" s="45" t="s">
        <v>601</v>
      </c>
      <c r="AA5" s="2"/>
      <c r="AB5" s="2"/>
      <c r="AC5" s="45" t="s">
        <v>308</v>
      </c>
      <c r="AD5" s="45" t="s">
        <v>254</v>
      </c>
      <c r="AE5" s="46" t="s">
        <v>285</v>
      </c>
      <c r="AF5" s="45" t="s">
        <v>602</v>
      </c>
      <c r="AG5" s="2"/>
      <c r="AH5" s="2"/>
      <c r="AI5" s="45" t="s">
        <v>296</v>
      </c>
      <c r="AJ5" s="45" t="s">
        <v>248</v>
      </c>
      <c r="AK5" s="46" t="s">
        <v>281</v>
      </c>
      <c r="AL5" s="45" t="s">
        <v>603</v>
      </c>
      <c r="AM5" s="2"/>
      <c r="AN5" s="2"/>
      <c r="AO5" s="45" t="s">
        <v>302</v>
      </c>
      <c r="AP5" s="45" t="s">
        <v>236</v>
      </c>
      <c r="AQ5" s="46" t="s">
        <v>258</v>
      </c>
      <c r="AR5" s="45" t="s">
        <v>604</v>
      </c>
      <c r="AS5" s="2"/>
      <c r="AT5" s="2"/>
      <c r="AU5" s="45" t="s">
        <v>290</v>
      </c>
      <c r="AV5" s="45" t="s">
        <v>238</v>
      </c>
      <c r="AW5" s="46" t="s">
        <v>256</v>
      </c>
      <c r="AX5" s="45" t="s">
        <v>605</v>
      </c>
      <c r="AY5" s="2"/>
      <c r="AZ5" s="2"/>
      <c r="BA5" s="45" t="s">
        <v>300</v>
      </c>
      <c r="BB5" s="45" t="s">
        <v>246</v>
      </c>
      <c r="BC5" s="46" t="s">
        <v>283</v>
      </c>
      <c r="BD5" s="45" t="s">
        <v>606</v>
      </c>
      <c r="BE5" s="2"/>
      <c r="BF5" s="2"/>
      <c r="BG5" s="45" t="s">
        <v>298</v>
      </c>
      <c r="BH5" s="45" t="s">
        <v>252</v>
      </c>
      <c r="BI5" s="46" t="s">
        <v>289</v>
      </c>
      <c r="BJ5" s="45" t="s">
        <v>607</v>
      </c>
      <c r="BK5" s="2"/>
      <c r="BL5" s="2"/>
      <c r="BM5" s="45" t="s">
        <v>234</v>
      </c>
      <c r="BN5" s="45" t="s">
        <v>229</v>
      </c>
      <c r="BO5" s="45" t="s">
        <v>230</v>
      </c>
      <c r="BP5" s="45" t="s">
        <v>276</v>
      </c>
      <c r="BQ5" s="45" t="s">
        <v>275</v>
      </c>
      <c r="BR5" s="45" t="s">
        <v>608</v>
      </c>
      <c r="BS5" s="2"/>
      <c r="BT5" s="2"/>
    </row>
    <row r="6" spans="1:72" s="44" customFormat="1" x14ac:dyDescent="0.25">
      <c r="A6" s="2"/>
      <c r="B6" s="41" t="s">
        <v>261</v>
      </c>
      <c r="C6" s="41" t="s">
        <v>286</v>
      </c>
      <c r="D6" s="2" t="s">
        <v>609</v>
      </c>
      <c r="E6" s="45" t="s">
        <v>293</v>
      </c>
      <c r="F6" s="46" t="s">
        <v>241</v>
      </c>
      <c r="G6" s="45" t="s">
        <v>233</v>
      </c>
      <c r="H6" s="45" t="s">
        <v>610</v>
      </c>
      <c r="I6" s="2"/>
      <c r="J6" s="2"/>
      <c r="K6" s="45" t="s">
        <v>295</v>
      </c>
      <c r="L6" s="46" t="s">
        <v>243</v>
      </c>
      <c r="M6" s="45" t="s">
        <v>272</v>
      </c>
      <c r="N6" s="45" t="s">
        <v>611</v>
      </c>
      <c r="O6" s="2"/>
      <c r="P6" s="2"/>
      <c r="Q6" s="45" t="s">
        <v>305</v>
      </c>
      <c r="R6" s="46" t="s">
        <v>245</v>
      </c>
      <c r="S6" s="45" t="s">
        <v>278</v>
      </c>
      <c r="T6" s="45" t="s">
        <v>612</v>
      </c>
      <c r="U6" s="2"/>
      <c r="V6" s="2"/>
      <c r="W6" s="45" t="s">
        <v>307</v>
      </c>
      <c r="X6" s="46" t="s">
        <v>251</v>
      </c>
      <c r="Y6" s="45" t="s">
        <v>270</v>
      </c>
      <c r="Z6" s="45" t="s">
        <v>613</v>
      </c>
      <c r="AA6" s="2"/>
      <c r="AB6" s="2"/>
      <c r="AC6" s="45" t="s">
        <v>309</v>
      </c>
      <c r="AD6" s="46" t="s">
        <v>255</v>
      </c>
      <c r="AE6" s="45" t="s">
        <v>284</v>
      </c>
      <c r="AF6" s="45" t="s">
        <v>614</v>
      </c>
      <c r="AG6" s="2"/>
      <c r="AH6" s="2"/>
      <c r="AI6" s="45" t="s">
        <v>297</v>
      </c>
      <c r="AJ6" s="46" t="s">
        <v>249</v>
      </c>
      <c r="AK6" s="45" t="s">
        <v>280</v>
      </c>
      <c r="AL6" s="45" t="s">
        <v>615</v>
      </c>
      <c r="AM6" s="2"/>
      <c r="AN6" s="2"/>
      <c r="AO6" s="45" t="s">
        <v>303</v>
      </c>
      <c r="AP6" s="46" t="s">
        <v>237</v>
      </c>
      <c r="AQ6" s="45" t="s">
        <v>259</v>
      </c>
      <c r="AR6" s="45" t="s">
        <v>616</v>
      </c>
      <c r="AS6" s="2"/>
      <c r="AT6" s="2"/>
      <c r="AU6" s="45" t="s">
        <v>291</v>
      </c>
      <c r="AV6" s="46" t="s">
        <v>239</v>
      </c>
      <c r="AW6" s="45" t="s">
        <v>257</v>
      </c>
      <c r="AX6" s="45" t="s">
        <v>617</v>
      </c>
      <c r="AY6" s="2"/>
      <c r="AZ6" s="2"/>
      <c r="BA6" s="45" t="s">
        <v>301</v>
      </c>
      <c r="BB6" s="46" t="s">
        <v>247</v>
      </c>
      <c r="BC6" s="45" t="s">
        <v>282</v>
      </c>
      <c r="BD6" s="45" t="s">
        <v>618</v>
      </c>
      <c r="BE6" s="2"/>
      <c r="BF6" s="2"/>
      <c r="BG6" s="45" t="s">
        <v>299</v>
      </c>
      <c r="BH6" s="46" t="s">
        <v>253</v>
      </c>
      <c r="BI6" s="45" t="s">
        <v>288</v>
      </c>
      <c r="BJ6" s="45" t="s">
        <v>619</v>
      </c>
      <c r="BK6" s="2"/>
      <c r="BL6" s="2"/>
      <c r="BM6" s="45" t="s">
        <v>235</v>
      </c>
      <c r="BN6" s="45" t="s">
        <v>228</v>
      </c>
      <c r="BO6" s="45" t="s">
        <v>231</v>
      </c>
      <c r="BP6" s="45" t="s">
        <v>277</v>
      </c>
      <c r="BQ6" s="45" t="s">
        <v>274</v>
      </c>
      <c r="BR6" s="45" t="s">
        <v>620</v>
      </c>
      <c r="BS6" s="2"/>
      <c r="BT6" s="2"/>
    </row>
    <row r="7" spans="1:72" x14ac:dyDescent="0.25">
      <c r="C7" s="12"/>
      <c r="D7" s="12"/>
      <c r="E7" s="12"/>
      <c r="F7" s="12"/>
      <c r="G7" s="12"/>
      <c r="H7" s="12"/>
      <c r="I7" s="12"/>
      <c r="J7" s="12"/>
      <c r="K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</row>
    <row r="8" spans="1:72" x14ac:dyDescent="0.25">
      <c r="B8" s="12"/>
      <c r="C8" s="12"/>
      <c r="D8" s="12"/>
      <c r="E8" s="12"/>
      <c r="F8" s="12"/>
      <c r="G8" s="12"/>
      <c r="H8" s="12"/>
      <c r="I8" s="12"/>
      <c r="J8" s="12"/>
      <c r="K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</row>
  </sheetData>
  <mergeCells count="19">
    <mergeCell ref="BG1:BT1"/>
    <mergeCell ref="BA1:BF1"/>
    <mergeCell ref="AU1:AZ1"/>
    <mergeCell ref="AO1:AT1"/>
    <mergeCell ref="AO2:AT2"/>
    <mergeCell ref="AU2:AZ2"/>
    <mergeCell ref="BG2:BL2"/>
    <mergeCell ref="BM2:BT2"/>
    <mergeCell ref="BA2:BF2"/>
    <mergeCell ref="E2:J2"/>
    <mergeCell ref="B1:D1"/>
    <mergeCell ref="A1:A3"/>
    <mergeCell ref="Q2:V2"/>
    <mergeCell ref="W2:AB2"/>
    <mergeCell ref="W1:AN1"/>
    <mergeCell ref="E1:V1"/>
    <mergeCell ref="K2:P2"/>
    <mergeCell ref="AC2:AH2"/>
    <mergeCell ref="AI2:AN2"/>
  </mergeCells>
  <pageMargins left="0" right="0" top="0" bottom="0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SheetToCSV">
                <anchor moveWithCells="1" sizeWithCells="1">
                  <from>
                    <xdr:col>0</xdr:col>
                    <xdr:colOff>419100</xdr:colOff>
                    <xdr:row>10</xdr:row>
                    <xdr:rowOff>47625</xdr:rowOff>
                  </from>
                  <to>
                    <xdr:col>2</xdr:col>
                    <xdr:colOff>590550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SheetToCSV">
                <anchor moveWithCells="1" sizeWithCells="1">
                  <from>
                    <xdr:col>42</xdr:col>
                    <xdr:colOff>133350</xdr:colOff>
                    <xdr:row>7</xdr:row>
                    <xdr:rowOff>38100</xdr:rowOff>
                  </from>
                  <to>
                    <xdr:col>42</xdr:col>
                    <xdr:colOff>866775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8695" divId="режимка_18695" sourceType="range" sourceRef="A1:BT6" destinationFile="D:\NODEJS\OASK-GTP-2\oask-gtp-calc-module\режимка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58"/>
  <sheetViews>
    <sheetView workbookViewId="0">
      <selection activeCell="B24" sqref="B24"/>
    </sheetView>
  </sheetViews>
  <sheetFormatPr defaultRowHeight="15" x14ac:dyDescent="0.25"/>
  <cols>
    <col min="1" max="1" width="8" bestFit="1" customWidth="1"/>
    <col min="2" max="2" width="181.85546875" bestFit="1" customWidth="1"/>
  </cols>
  <sheetData>
    <row r="1" spans="1:13" x14ac:dyDescent="0.25">
      <c r="A1" s="56" t="s">
        <v>72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</row>
    <row r="2" spans="1:13" x14ac:dyDescent="0.25">
      <c r="A2" s="57" t="s">
        <v>73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</row>
    <row r="3" spans="1:13" x14ac:dyDescent="0.25">
      <c r="A3" s="58" t="s">
        <v>74</v>
      </c>
      <c r="B3" s="54" t="s">
        <v>75</v>
      </c>
      <c r="C3" s="60" t="s">
        <v>76</v>
      </c>
      <c r="D3" s="61"/>
      <c r="E3" s="61"/>
      <c r="F3" s="54"/>
      <c r="G3" s="60" t="s">
        <v>7</v>
      </c>
      <c r="H3" s="61"/>
      <c r="I3" s="61"/>
      <c r="J3" s="54"/>
      <c r="K3" s="54" t="s">
        <v>77</v>
      </c>
      <c r="L3" s="54" t="s">
        <v>78</v>
      </c>
      <c r="M3" s="54" t="s">
        <v>79</v>
      </c>
    </row>
    <row r="4" spans="1:13" x14ac:dyDescent="0.25">
      <c r="A4" s="59"/>
      <c r="B4" s="55"/>
      <c r="C4" s="8" t="s">
        <v>80</v>
      </c>
      <c r="D4" s="8" t="s">
        <v>80</v>
      </c>
      <c r="E4" s="8" t="s">
        <v>80</v>
      </c>
      <c r="F4" s="8" t="s">
        <v>81</v>
      </c>
      <c r="G4" s="8" t="s">
        <v>82</v>
      </c>
      <c r="H4" s="8" t="s">
        <v>82</v>
      </c>
      <c r="I4" s="8" t="s">
        <v>82</v>
      </c>
      <c r="J4" s="8" t="s">
        <v>83</v>
      </c>
      <c r="K4" s="55"/>
      <c r="L4" s="55"/>
      <c r="M4" s="55"/>
    </row>
    <row r="5" spans="1:13" x14ac:dyDescent="0.25">
      <c r="A5" s="7">
        <v>9800000</v>
      </c>
      <c r="B5" s="7" t="s">
        <v>84</v>
      </c>
      <c r="C5" s="7">
        <v>3</v>
      </c>
      <c r="D5" s="7">
        <v>10</v>
      </c>
      <c r="E5" s="7">
        <v>3</v>
      </c>
      <c r="F5" s="7">
        <v>16</v>
      </c>
      <c r="G5" s="7">
        <v>6</v>
      </c>
      <c r="H5" s="7"/>
      <c r="I5" s="7"/>
      <c r="J5" s="7">
        <v>6</v>
      </c>
      <c r="K5" s="7"/>
      <c r="L5" s="7">
        <v>22</v>
      </c>
      <c r="M5" s="7">
        <v>32</v>
      </c>
    </row>
    <row r="6" spans="1:13" x14ac:dyDescent="0.25">
      <c r="A6" s="7">
        <v>9800001</v>
      </c>
      <c r="B6" s="7" t="s">
        <v>85</v>
      </c>
      <c r="C6" s="7"/>
      <c r="D6" s="7">
        <v>2</v>
      </c>
      <c r="E6" s="7"/>
      <c r="F6" s="7">
        <v>2</v>
      </c>
      <c r="G6" s="7"/>
      <c r="H6" s="7"/>
      <c r="I6" s="7"/>
      <c r="J6" s="7"/>
      <c r="K6" s="7"/>
      <c r="L6" s="7">
        <v>2</v>
      </c>
      <c r="M6" s="7">
        <v>2</v>
      </c>
    </row>
    <row r="7" spans="1:13" x14ac:dyDescent="0.25">
      <c r="A7" s="7">
        <v>9800002</v>
      </c>
      <c r="B7" s="7" t="s">
        <v>86</v>
      </c>
      <c r="C7" s="7">
        <v>2</v>
      </c>
      <c r="D7" s="7"/>
      <c r="E7" s="7">
        <v>3</v>
      </c>
      <c r="F7" s="7">
        <v>5</v>
      </c>
      <c r="G7" s="7"/>
      <c r="H7" s="7"/>
      <c r="I7" s="7"/>
      <c r="J7" s="7"/>
      <c r="K7" s="7"/>
      <c r="L7" s="7">
        <v>5</v>
      </c>
      <c r="M7" s="7">
        <v>5</v>
      </c>
    </row>
    <row r="8" spans="1:13" x14ac:dyDescent="0.25">
      <c r="A8" s="7">
        <v>9800003</v>
      </c>
      <c r="B8" s="7" t="s">
        <v>87</v>
      </c>
      <c r="C8" s="7"/>
      <c r="D8" s="7"/>
      <c r="E8" s="7"/>
      <c r="F8" s="7"/>
      <c r="G8" s="7">
        <v>1</v>
      </c>
      <c r="H8" s="7"/>
      <c r="I8" s="7"/>
      <c r="J8" s="7">
        <v>1</v>
      </c>
      <c r="K8" s="7"/>
      <c r="L8" s="7">
        <v>1</v>
      </c>
      <c r="M8" s="7">
        <v>1</v>
      </c>
    </row>
    <row r="9" spans="1:13" x14ac:dyDescent="0.25">
      <c r="A9" s="7">
        <v>9800004</v>
      </c>
      <c r="B9" s="7" t="s">
        <v>88</v>
      </c>
      <c r="C9" s="7">
        <v>16</v>
      </c>
      <c r="D9" s="7">
        <v>6</v>
      </c>
      <c r="E9" s="7">
        <v>12</v>
      </c>
      <c r="F9" s="7">
        <v>34</v>
      </c>
      <c r="G9" s="7">
        <v>15</v>
      </c>
      <c r="H9" s="7"/>
      <c r="I9" s="7"/>
      <c r="J9" s="7">
        <v>15</v>
      </c>
      <c r="K9" s="7">
        <v>2</v>
      </c>
      <c r="L9" s="7">
        <v>51</v>
      </c>
      <c r="M9" s="7">
        <v>51</v>
      </c>
    </row>
    <row r="10" spans="1:13" x14ac:dyDescent="0.25">
      <c r="A10" s="7">
        <v>9800005</v>
      </c>
      <c r="B10" s="7" t="s">
        <v>89</v>
      </c>
      <c r="C10" s="7">
        <v>2</v>
      </c>
      <c r="D10" s="7"/>
      <c r="E10" s="7">
        <v>4</v>
      </c>
      <c r="F10" s="7">
        <v>6</v>
      </c>
      <c r="G10" s="7"/>
      <c r="H10" s="7"/>
      <c r="I10" s="7"/>
      <c r="J10" s="7"/>
      <c r="K10" s="7"/>
      <c r="L10" s="7">
        <v>6</v>
      </c>
      <c r="M10" s="7">
        <v>6</v>
      </c>
    </row>
    <row r="11" spans="1:13" x14ac:dyDescent="0.25">
      <c r="A11" s="7">
        <v>9800006</v>
      </c>
      <c r="B11" s="7" t="s">
        <v>90</v>
      </c>
      <c r="C11" s="7">
        <v>5</v>
      </c>
      <c r="D11" s="7">
        <v>1</v>
      </c>
      <c r="E11" s="7"/>
      <c r="F11" s="7">
        <v>6</v>
      </c>
      <c r="G11" s="7">
        <v>3</v>
      </c>
      <c r="H11" s="7"/>
      <c r="I11" s="7"/>
      <c r="J11" s="7">
        <v>3</v>
      </c>
      <c r="K11" s="7"/>
      <c r="L11" s="7">
        <v>9</v>
      </c>
      <c r="M11" s="7">
        <v>9</v>
      </c>
    </row>
    <row r="12" spans="1:13" x14ac:dyDescent="0.25">
      <c r="A12" s="7">
        <v>9800007</v>
      </c>
      <c r="B12" s="7" t="s">
        <v>91</v>
      </c>
      <c r="C12" s="7">
        <v>3</v>
      </c>
      <c r="D12" s="7"/>
      <c r="E12" s="7">
        <v>8</v>
      </c>
      <c r="F12" s="7">
        <v>11</v>
      </c>
      <c r="G12" s="7">
        <v>12</v>
      </c>
      <c r="H12" s="7"/>
      <c r="I12" s="7"/>
      <c r="J12" s="7">
        <v>12</v>
      </c>
      <c r="K12" s="7"/>
      <c r="L12" s="7">
        <v>23</v>
      </c>
      <c r="M12" s="7">
        <v>23</v>
      </c>
    </row>
    <row r="13" spans="1:13" x14ac:dyDescent="0.25">
      <c r="A13" s="7">
        <v>9800008</v>
      </c>
      <c r="B13" s="7" t="s">
        <v>92</v>
      </c>
      <c r="C13" s="7">
        <v>6</v>
      </c>
      <c r="D13" s="7">
        <v>5</v>
      </c>
      <c r="E13" s="7"/>
      <c r="F13" s="7">
        <v>11</v>
      </c>
      <c r="G13" s="7"/>
      <c r="H13" s="7"/>
      <c r="I13" s="7"/>
      <c r="J13" s="7"/>
      <c r="K13" s="7"/>
      <c r="L13" s="7">
        <v>11</v>
      </c>
      <c r="M13" s="7">
        <v>11</v>
      </c>
    </row>
    <row r="14" spans="1:13" x14ac:dyDescent="0.25">
      <c r="A14" s="7">
        <v>9800009</v>
      </c>
      <c r="B14" s="7" t="s">
        <v>93</v>
      </c>
      <c r="C14" s="7">
        <v>10</v>
      </c>
      <c r="D14" s="7"/>
      <c r="E14" s="7"/>
      <c r="F14" s="7">
        <v>10</v>
      </c>
      <c r="G14" s="7"/>
      <c r="H14" s="7">
        <v>1</v>
      </c>
      <c r="I14" s="7"/>
      <c r="J14" s="7">
        <v>1</v>
      </c>
      <c r="K14" s="7"/>
      <c r="L14" s="7">
        <v>11</v>
      </c>
      <c r="M14" s="7">
        <v>11</v>
      </c>
    </row>
    <row r="15" spans="1:13" x14ac:dyDescent="0.25">
      <c r="A15" s="7">
        <v>9800010</v>
      </c>
      <c r="B15" s="7" t="s">
        <v>94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x14ac:dyDescent="0.25">
      <c r="A16" s="7">
        <v>9800011</v>
      </c>
      <c r="B16" s="7" t="s">
        <v>95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x14ac:dyDescent="0.25">
      <c r="A17" s="7">
        <v>9800012</v>
      </c>
      <c r="B17" s="7" t="s">
        <v>96</v>
      </c>
      <c r="C17" s="7">
        <v>10</v>
      </c>
      <c r="D17" s="7">
        <v>6</v>
      </c>
      <c r="E17" s="7">
        <v>10</v>
      </c>
      <c r="F17" s="7">
        <v>26</v>
      </c>
      <c r="G17" s="7">
        <v>10.1</v>
      </c>
      <c r="H17" s="7">
        <v>12</v>
      </c>
      <c r="I17" s="7">
        <v>13</v>
      </c>
      <c r="J17" s="7">
        <v>35.1</v>
      </c>
      <c r="K17" s="7"/>
      <c r="L17" s="7">
        <v>61.1</v>
      </c>
      <c r="M17" s="7">
        <v>61.1</v>
      </c>
    </row>
    <row r="18" spans="1:13" x14ac:dyDescent="0.25">
      <c r="A18" s="7">
        <v>9800013</v>
      </c>
      <c r="B18" s="7" t="s">
        <v>97</v>
      </c>
      <c r="C18" s="7">
        <v>3</v>
      </c>
      <c r="D18" s="7"/>
      <c r="E18" s="7"/>
      <c r="F18" s="7">
        <v>3</v>
      </c>
      <c r="G18" s="7">
        <v>10</v>
      </c>
      <c r="H18" s="7"/>
      <c r="I18" s="7"/>
      <c r="J18" s="7">
        <v>10</v>
      </c>
      <c r="K18" s="7"/>
      <c r="L18" s="7">
        <v>13</v>
      </c>
      <c r="M18" s="7">
        <v>13</v>
      </c>
    </row>
    <row r="19" spans="1:13" x14ac:dyDescent="0.25">
      <c r="A19" s="7">
        <v>9800014</v>
      </c>
      <c r="B19" s="7" t="s">
        <v>98</v>
      </c>
      <c r="C19" s="7"/>
      <c r="D19" s="7">
        <v>1</v>
      </c>
      <c r="E19" s="7"/>
      <c r="F19" s="7">
        <v>1</v>
      </c>
      <c r="G19" s="7"/>
      <c r="H19" s="7">
        <v>12</v>
      </c>
      <c r="I19" s="7"/>
      <c r="J19" s="7">
        <v>12</v>
      </c>
      <c r="K19" s="7"/>
      <c r="L19" s="7">
        <v>13</v>
      </c>
      <c r="M19" s="7">
        <v>13</v>
      </c>
    </row>
    <row r="20" spans="1:13" x14ac:dyDescent="0.25">
      <c r="A20" s="7">
        <v>9800015</v>
      </c>
      <c r="B20" s="7" t="s">
        <v>99</v>
      </c>
      <c r="C20" s="7"/>
      <c r="D20" s="7"/>
      <c r="E20" s="7">
        <v>2</v>
      </c>
      <c r="F20" s="7">
        <v>2</v>
      </c>
      <c r="G20" s="7"/>
      <c r="H20" s="7"/>
      <c r="I20" s="7"/>
      <c r="J20" s="7"/>
      <c r="K20" s="7"/>
      <c r="L20" s="7">
        <v>2</v>
      </c>
      <c r="M20" s="7">
        <v>2</v>
      </c>
    </row>
    <row r="21" spans="1:13" x14ac:dyDescent="0.25">
      <c r="A21" s="7">
        <v>9800016</v>
      </c>
      <c r="B21" s="7" t="s">
        <v>100</v>
      </c>
      <c r="C21" s="7">
        <v>3</v>
      </c>
      <c r="D21" s="7"/>
      <c r="E21" s="7">
        <v>8</v>
      </c>
      <c r="F21" s="7">
        <v>11</v>
      </c>
      <c r="G21" s="7">
        <v>0.1</v>
      </c>
      <c r="H21" s="7"/>
      <c r="I21" s="7"/>
      <c r="J21" s="7">
        <v>0.1</v>
      </c>
      <c r="K21" s="7"/>
      <c r="L21" s="7">
        <v>11.1</v>
      </c>
      <c r="M21" s="7">
        <v>11.1</v>
      </c>
    </row>
    <row r="22" spans="1:13" x14ac:dyDescent="0.25">
      <c r="A22" s="7">
        <v>9800017</v>
      </c>
      <c r="B22" s="7" t="s">
        <v>101</v>
      </c>
      <c r="C22" s="7">
        <v>4</v>
      </c>
      <c r="D22" s="7">
        <v>5</v>
      </c>
      <c r="E22" s="7"/>
      <c r="F22" s="7">
        <v>9</v>
      </c>
      <c r="G22" s="7"/>
      <c r="H22" s="7"/>
      <c r="I22" s="7">
        <v>13</v>
      </c>
      <c r="J22" s="7">
        <v>13</v>
      </c>
      <c r="K22" s="7"/>
      <c r="L22" s="7">
        <v>22</v>
      </c>
      <c r="M22" s="7">
        <v>22</v>
      </c>
    </row>
    <row r="23" spans="1:13" x14ac:dyDescent="0.25">
      <c r="A23" s="7">
        <v>9800018</v>
      </c>
      <c r="B23" s="7" t="s">
        <v>102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x14ac:dyDescent="0.25">
      <c r="A24" s="7">
        <v>9800019</v>
      </c>
      <c r="B24" s="7" t="s">
        <v>103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x14ac:dyDescent="0.25">
      <c r="A25" s="7">
        <v>9800020</v>
      </c>
      <c r="B25" s="7" t="s">
        <v>104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x14ac:dyDescent="0.25">
      <c r="A26" s="7">
        <v>9800021</v>
      </c>
      <c r="B26" s="7" t="s">
        <v>105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 x14ac:dyDescent="0.25">
      <c r="A27" s="7">
        <v>9800022</v>
      </c>
      <c r="B27" s="7" t="s">
        <v>106</v>
      </c>
      <c r="C27" s="7">
        <v>10</v>
      </c>
      <c r="D27" s="7">
        <v>14</v>
      </c>
      <c r="E27" s="7">
        <v>30</v>
      </c>
      <c r="F27" s="7">
        <v>54</v>
      </c>
      <c r="G27" s="7">
        <v>2</v>
      </c>
      <c r="H27" s="7">
        <v>1</v>
      </c>
      <c r="I27" s="7">
        <v>1</v>
      </c>
      <c r="J27" s="7">
        <v>4</v>
      </c>
      <c r="K27" s="7"/>
      <c r="L27" s="7">
        <v>58</v>
      </c>
      <c r="M27" s="7">
        <v>58</v>
      </c>
    </row>
    <row r="28" spans="1:13" x14ac:dyDescent="0.25">
      <c r="A28" s="7">
        <v>9800023</v>
      </c>
      <c r="B28" s="7" t="s">
        <v>107</v>
      </c>
      <c r="C28" s="7">
        <v>1</v>
      </c>
      <c r="D28" s="7"/>
      <c r="E28" s="7">
        <v>5</v>
      </c>
      <c r="F28" s="7">
        <v>6</v>
      </c>
      <c r="G28" s="7"/>
      <c r="H28" s="7"/>
      <c r="I28" s="7"/>
      <c r="J28" s="7"/>
      <c r="K28" s="7"/>
      <c r="L28" s="7">
        <v>6</v>
      </c>
      <c r="M28" s="7">
        <v>6</v>
      </c>
    </row>
    <row r="29" spans="1:13" x14ac:dyDescent="0.25">
      <c r="A29" s="7">
        <v>9800024</v>
      </c>
      <c r="B29" s="7" t="s">
        <v>108</v>
      </c>
      <c r="C29" s="7"/>
      <c r="D29" s="7">
        <v>5</v>
      </c>
      <c r="E29" s="7">
        <v>6</v>
      </c>
      <c r="F29" s="7">
        <v>11</v>
      </c>
      <c r="G29" s="7">
        <v>1</v>
      </c>
      <c r="H29" s="7"/>
      <c r="I29" s="7"/>
      <c r="J29" s="7">
        <v>1</v>
      </c>
      <c r="K29" s="7"/>
      <c r="L29" s="7">
        <v>12</v>
      </c>
      <c r="M29" s="7">
        <v>12</v>
      </c>
    </row>
    <row r="30" spans="1:13" x14ac:dyDescent="0.25">
      <c r="A30" s="7">
        <v>9800025</v>
      </c>
      <c r="B30" s="7" t="s">
        <v>109</v>
      </c>
      <c r="C30" s="7">
        <v>2</v>
      </c>
      <c r="D30" s="7"/>
      <c r="E30" s="7"/>
      <c r="F30" s="7">
        <v>2</v>
      </c>
      <c r="G30" s="7"/>
      <c r="H30" s="7"/>
      <c r="I30" s="7">
        <v>1</v>
      </c>
      <c r="J30" s="7">
        <v>1</v>
      </c>
      <c r="K30" s="7"/>
      <c r="L30" s="7">
        <v>3</v>
      </c>
      <c r="M30" s="7">
        <v>3</v>
      </c>
    </row>
    <row r="31" spans="1:13" x14ac:dyDescent="0.25">
      <c r="A31" s="7">
        <v>9800026</v>
      </c>
      <c r="B31" s="7" t="s">
        <v>110</v>
      </c>
      <c r="C31" s="7"/>
      <c r="D31" s="7">
        <v>4</v>
      </c>
      <c r="E31" s="7">
        <v>6</v>
      </c>
      <c r="F31" s="7">
        <v>10</v>
      </c>
      <c r="G31" s="7"/>
      <c r="H31" s="7"/>
      <c r="I31" s="7"/>
      <c r="J31" s="7"/>
      <c r="K31" s="7"/>
      <c r="L31" s="7">
        <v>10</v>
      </c>
      <c r="M31" s="7">
        <v>10</v>
      </c>
    </row>
    <row r="32" spans="1:13" x14ac:dyDescent="0.25">
      <c r="A32" s="7">
        <v>9800027</v>
      </c>
      <c r="B32" s="7" t="s">
        <v>111</v>
      </c>
      <c r="C32" s="7">
        <v>3</v>
      </c>
      <c r="D32" s="7"/>
      <c r="E32" s="7"/>
      <c r="F32" s="7">
        <v>3</v>
      </c>
      <c r="G32" s="7">
        <v>1</v>
      </c>
      <c r="H32" s="7"/>
      <c r="I32" s="7"/>
      <c r="J32" s="7">
        <v>1</v>
      </c>
      <c r="K32" s="7"/>
      <c r="L32" s="7">
        <v>4</v>
      </c>
      <c r="M32" s="7">
        <v>4</v>
      </c>
    </row>
    <row r="33" spans="1:13" x14ac:dyDescent="0.25">
      <c r="A33" s="7">
        <v>9800028</v>
      </c>
      <c r="B33" s="7" t="s">
        <v>112</v>
      </c>
      <c r="C33" s="7"/>
      <c r="D33" s="7">
        <v>3</v>
      </c>
      <c r="E33" s="7">
        <v>6</v>
      </c>
      <c r="F33" s="7">
        <v>9</v>
      </c>
      <c r="G33" s="7"/>
      <c r="H33" s="7"/>
      <c r="I33" s="7"/>
      <c r="J33" s="7"/>
      <c r="K33" s="7"/>
      <c r="L33" s="7">
        <v>9</v>
      </c>
      <c r="M33" s="7">
        <v>9</v>
      </c>
    </row>
    <row r="34" spans="1:13" x14ac:dyDescent="0.25">
      <c r="A34" s="7">
        <v>9800029</v>
      </c>
      <c r="B34" s="7" t="s">
        <v>113</v>
      </c>
      <c r="C34" s="7">
        <v>4</v>
      </c>
      <c r="D34" s="7"/>
      <c r="E34" s="7"/>
      <c r="F34" s="7">
        <v>4</v>
      </c>
      <c r="G34" s="7"/>
      <c r="H34" s="7">
        <v>1</v>
      </c>
      <c r="I34" s="7"/>
      <c r="J34" s="7">
        <v>1</v>
      </c>
      <c r="K34" s="7"/>
      <c r="L34" s="7">
        <v>5</v>
      </c>
      <c r="M34" s="7">
        <v>5</v>
      </c>
    </row>
    <row r="35" spans="1:13" x14ac:dyDescent="0.25">
      <c r="A35" s="7">
        <v>9800030</v>
      </c>
      <c r="B35" s="7" t="s">
        <v>114</v>
      </c>
      <c r="C35" s="7"/>
      <c r="D35" s="7">
        <v>2</v>
      </c>
      <c r="E35" s="7">
        <v>7</v>
      </c>
      <c r="F35" s="7">
        <v>9</v>
      </c>
      <c r="G35" s="7"/>
      <c r="H35" s="7"/>
      <c r="I35" s="7"/>
      <c r="J35" s="7"/>
      <c r="K35" s="7"/>
      <c r="L35" s="7">
        <v>9</v>
      </c>
      <c r="M35" s="7">
        <v>9</v>
      </c>
    </row>
    <row r="36" spans="1:13" x14ac:dyDescent="0.25">
      <c r="A36" s="7">
        <v>9800031</v>
      </c>
      <c r="B36" s="7" t="s">
        <v>115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 x14ac:dyDescent="0.25">
      <c r="A37" s="7">
        <v>9800032</v>
      </c>
      <c r="B37" s="7" t="s">
        <v>116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 x14ac:dyDescent="0.25">
      <c r="A38" s="7">
        <v>9800033</v>
      </c>
      <c r="B38" s="7" t="s">
        <v>117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x14ac:dyDescent="0.25">
      <c r="A39" s="7">
        <v>9800034</v>
      </c>
      <c r="B39" s="7" t="s">
        <v>118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 x14ac:dyDescent="0.25">
      <c r="A40" s="7">
        <v>9800035</v>
      </c>
      <c r="B40" s="7" t="s">
        <v>119</v>
      </c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 x14ac:dyDescent="0.25">
      <c r="A41" s="7">
        <v>9800036</v>
      </c>
      <c r="B41" s="7" t="s">
        <v>120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 x14ac:dyDescent="0.25">
      <c r="A42" s="7">
        <v>9800037</v>
      </c>
      <c r="B42" s="7" t="s">
        <v>91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 x14ac:dyDescent="0.25">
      <c r="A43" s="7">
        <v>9800038</v>
      </c>
      <c r="B43" s="7" t="s">
        <v>92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 x14ac:dyDescent="0.25">
      <c r="A44" s="7">
        <v>9800039</v>
      </c>
      <c r="B44" s="7" t="s">
        <v>121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 x14ac:dyDescent="0.25">
      <c r="A45" s="7">
        <v>9800040</v>
      </c>
      <c r="B45" s="7" t="s">
        <v>122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 x14ac:dyDescent="0.25">
      <c r="A46" s="7">
        <v>9800041</v>
      </c>
      <c r="B46" s="7" t="s">
        <v>123</v>
      </c>
      <c r="C46" s="7">
        <v>51</v>
      </c>
      <c r="D46" s="7">
        <v>38</v>
      </c>
      <c r="E46" s="7">
        <v>58</v>
      </c>
      <c r="F46" s="7">
        <v>147</v>
      </c>
      <c r="G46" s="7">
        <v>34.1</v>
      </c>
      <c r="H46" s="7">
        <v>14</v>
      </c>
      <c r="I46" s="7">
        <v>14</v>
      </c>
      <c r="J46" s="7">
        <v>62.1</v>
      </c>
      <c r="K46" s="7"/>
      <c r="L46" s="7">
        <v>209.1</v>
      </c>
      <c r="M46" s="7">
        <v>418.2</v>
      </c>
    </row>
    <row r="47" spans="1:13" x14ac:dyDescent="0.25">
      <c r="A47" s="7">
        <v>9800042</v>
      </c>
      <c r="B47" s="7" t="s">
        <v>124</v>
      </c>
      <c r="C47" s="7">
        <v>48</v>
      </c>
      <c r="D47" s="7">
        <v>28</v>
      </c>
      <c r="E47" s="7">
        <v>55</v>
      </c>
      <c r="F47" s="7">
        <v>131</v>
      </c>
      <c r="G47" s="7">
        <v>28.1</v>
      </c>
      <c r="H47" s="7">
        <v>14</v>
      </c>
      <c r="I47" s="7">
        <v>14</v>
      </c>
      <c r="J47" s="7">
        <v>56.1</v>
      </c>
      <c r="K47" s="7"/>
      <c r="L47" s="7">
        <v>187.1</v>
      </c>
      <c r="M47" s="7">
        <v>374.2</v>
      </c>
    </row>
    <row r="48" spans="1:13" x14ac:dyDescent="0.25">
      <c r="A48" s="7">
        <v>9800043</v>
      </c>
      <c r="B48" s="7" t="s">
        <v>125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  <row r="49" spans="1:13" x14ac:dyDescent="0.25">
      <c r="A49" s="7">
        <v>9800044</v>
      </c>
      <c r="B49" s="7" t="s">
        <v>126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</row>
    <row r="50" spans="1:13" x14ac:dyDescent="0.25">
      <c r="A50" s="7">
        <v>9800045</v>
      </c>
      <c r="B50" s="7" t="s">
        <v>127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</row>
    <row r="51" spans="1:13" x14ac:dyDescent="0.25">
      <c r="A51" s="7">
        <v>9800046</v>
      </c>
      <c r="B51" s="7" t="s">
        <v>128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</row>
    <row r="52" spans="1:13" x14ac:dyDescent="0.25">
      <c r="A52" s="7">
        <v>9800047</v>
      </c>
      <c r="B52" s="7" t="s">
        <v>129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 x14ac:dyDescent="0.25">
      <c r="A53" s="7">
        <v>9800048</v>
      </c>
      <c r="B53" s="7" t="s">
        <v>130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  <row r="54" spans="1:13" x14ac:dyDescent="0.25">
      <c r="A54" s="7">
        <v>9800049</v>
      </c>
      <c r="B54" s="7" t="s">
        <v>131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 x14ac:dyDescent="0.25">
      <c r="A55" s="7">
        <v>9800050</v>
      </c>
      <c r="B55" s="7" t="s">
        <v>132</v>
      </c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 x14ac:dyDescent="0.25">
      <c r="A56" s="7">
        <v>9800051</v>
      </c>
      <c r="B56" s="7" t="s">
        <v>133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  <row r="57" spans="1:13" x14ac:dyDescent="0.25">
      <c r="A57" s="7">
        <v>9800052</v>
      </c>
      <c r="B57" s="7" t="s">
        <v>134</v>
      </c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</row>
    <row r="58" spans="1:13" x14ac:dyDescent="0.25">
      <c r="A58" s="7">
        <v>9800053</v>
      </c>
      <c r="B58" s="7" t="s">
        <v>135</v>
      </c>
      <c r="C58" s="7">
        <v>51</v>
      </c>
      <c r="D58" s="7">
        <v>38</v>
      </c>
      <c r="E58" s="7">
        <v>58</v>
      </c>
      <c r="F58" s="7">
        <v>147</v>
      </c>
      <c r="G58" s="7">
        <v>34.1</v>
      </c>
      <c r="H58" s="7">
        <v>14</v>
      </c>
      <c r="I58" s="7">
        <v>14</v>
      </c>
      <c r="J58" s="7">
        <v>62.1</v>
      </c>
      <c r="K58" s="7"/>
      <c r="L58" s="7">
        <v>209.1</v>
      </c>
      <c r="M58" s="7">
        <v>418.2</v>
      </c>
    </row>
  </sheetData>
  <mergeCells count="9">
    <mergeCell ref="M3:M4"/>
    <mergeCell ref="A1:M1"/>
    <mergeCell ref="A2:M2"/>
    <mergeCell ref="A3:A4"/>
    <mergeCell ref="B3:B4"/>
    <mergeCell ref="C3:F3"/>
    <mergeCell ref="G3:J3"/>
    <mergeCell ref="K3:K4"/>
    <mergeCell ref="L3:L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H28"/>
  <sheetViews>
    <sheetView workbookViewId="0">
      <selection activeCell="J9" sqref="J9"/>
    </sheetView>
  </sheetViews>
  <sheetFormatPr defaultRowHeight="15" x14ac:dyDescent="0.25"/>
  <cols>
    <col min="1" max="1" width="10.140625" bestFit="1" customWidth="1"/>
    <col min="2" max="2" width="29.7109375" bestFit="1" customWidth="1"/>
    <col min="3" max="3" width="7.7109375" bestFit="1" customWidth="1"/>
    <col min="4" max="4" width="12.5703125" bestFit="1" customWidth="1"/>
    <col min="5" max="5" width="11.5703125" bestFit="1" customWidth="1"/>
    <col min="6" max="6" width="8" bestFit="1" customWidth="1"/>
    <col min="7" max="7" width="7.7109375" bestFit="1" customWidth="1"/>
    <col min="8" max="8" width="20.140625" customWidth="1"/>
  </cols>
  <sheetData>
    <row r="1" spans="1:8" x14ac:dyDescent="0.25">
      <c r="A1" s="56" t="s">
        <v>136</v>
      </c>
      <c r="B1" s="56"/>
      <c r="C1" s="56"/>
      <c r="D1" s="56"/>
      <c r="E1" s="56"/>
      <c r="F1" s="56"/>
      <c r="G1" s="56"/>
      <c r="H1" s="56"/>
    </row>
    <row r="2" spans="1:8" x14ac:dyDescent="0.25">
      <c r="A2" s="57" t="s">
        <v>204</v>
      </c>
      <c r="B2" s="57"/>
      <c r="C2" s="57"/>
      <c r="D2" s="57"/>
      <c r="E2" s="57"/>
      <c r="F2" s="57"/>
      <c r="G2" s="57"/>
      <c r="H2" s="57"/>
    </row>
    <row r="3" spans="1:8" x14ac:dyDescent="0.25">
      <c r="A3" s="54"/>
      <c r="B3" s="54" t="s">
        <v>139</v>
      </c>
      <c r="C3" s="60" t="s">
        <v>140</v>
      </c>
      <c r="D3" s="61"/>
      <c r="E3" s="54"/>
      <c r="F3" s="60" t="s">
        <v>141</v>
      </c>
      <c r="G3" s="61"/>
      <c r="H3" s="54"/>
    </row>
    <row r="4" spans="1:8" ht="45" x14ac:dyDescent="0.25">
      <c r="A4" s="55"/>
      <c r="B4" s="55"/>
      <c r="C4" s="15" t="s">
        <v>142</v>
      </c>
      <c r="D4" s="14" t="s">
        <v>143</v>
      </c>
      <c r="E4" s="14" t="s">
        <v>144</v>
      </c>
      <c r="F4" s="15" t="s">
        <v>145</v>
      </c>
      <c r="G4" s="14" t="s">
        <v>146</v>
      </c>
      <c r="H4" s="14" t="s">
        <v>147</v>
      </c>
    </row>
    <row r="5" spans="1:8" s="12" customFormat="1" x14ac:dyDescent="0.25">
      <c r="A5" s="16">
        <v>1</v>
      </c>
      <c r="B5" s="6">
        <v>2</v>
      </c>
      <c r="C5" s="16">
        <v>3</v>
      </c>
      <c r="D5" s="6">
        <v>4</v>
      </c>
      <c r="E5" s="16">
        <v>5</v>
      </c>
      <c r="F5" s="6">
        <v>6</v>
      </c>
      <c r="G5" s="16">
        <v>7</v>
      </c>
      <c r="H5" s="6">
        <v>8</v>
      </c>
    </row>
    <row r="6" spans="1:8" x14ac:dyDescent="0.25">
      <c r="A6" s="13">
        <v>1</v>
      </c>
      <c r="B6" s="13" t="s">
        <v>205</v>
      </c>
      <c r="C6" s="13"/>
      <c r="D6" s="13"/>
      <c r="E6" s="13"/>
      <c r="F6" s="13"/>
      <c r="G6" s="13"/>
      <c r="H6" s="13"/>
    </row>
    <row r="7" spans="1:8" x14ac:dyDescent="0.25">
      <c r="A7" s="13">
        <v>2</v>
      </c>
      <c r="B7" s="13" t="s">
        <v>206</v>
      </c>
      <c r="C7" s="13"/>
      <c r="D7" s="3"/>
      <c r="E7" s="13"/>
      <c r="F7" s="13"/>
      <c r="G7" s="13"/>
      <c r="H7" s="13"/>
    </row>
    <row r="8" spans="1:8" x14ac:dyDescent="0.25">
      <c r="A8" s="13">
        <v>3</v>
      </c>
      <c r="B8" s="13" t="s">
        <v>207</v>
      </c>
      <c r="C8" s="13"/>
      <c r="D8" s="3"/>
      <c r="E8" s="13"/>
      <c r="F8" s="13"/>
      <c r="G8" s="13"/>
      <c r="H8" s="13"/>
    </row>
    <row r="9" spans="1:8" x14ac:dyDescent="0.25">
      <c r="A9" s="13">
        <v>4</v>
      </c>
      <c r="B9" s="13" t="s">
        <v>208</v>
      </c>
      <c r="C9" s="13"/>
      <c r="D9" s="3"/>
      <c r="E9" s="13"/>
      <c r="F9" s="13"/>
      <c r="G9" s="13"/>
      <c r="H9" s="13"/>
    </row>
    <row r="10" spans="1:8" x14ac:dyDescent="0.25">
      <c r="A10" s="13">
        <v>5</v>
      </c>
      <c r="B10" s="13" t="s">
        <v>209</v>
      </c>
      <c r="C10" s="13"/>
      <c r="D10" s="3"/>
      <c r="E10" s="13"/>
      <c r="F10" s="13"/>
      <c r="G10" s="13"/>
      <c r="H10" s="13"/>
    </row>
    <row r="11" spans="1:8" x14ac:dyDescent="0.25">
      <c r="A11" s="13">
        <v>6</v>
      </c>
      <c r="B11" s="13" t="s">
        <v>210</v>
      </c>
      <c r="C11" s="13"/>
      <c r="D11" s="3"/>
      <c r="E11" s="13"/>
      <c r="F11" s="13"/>
      <c r="G11" s="13"/>
      <c r="H11" s="13"/>
    </row>
    <row r="12" spans="1:8" x14ac:dyDescent="0.25">
      <c r="A12" s="13">
        <v>7</v>
      </c>
      <c r="B12" s="13" t="s">
        <v>211</v>
      </c>
      <c r="C12" s="13"/>
      <c r="D12" s="3"/>
      <c r="E12" s="13"/>
      <c r="F12" s="13"/>
      <c r="G12" s="13"/>
      <c r="H12" s="13"/>
    </row>
    <row r="13" spans="1:8" x14ac:dyDescent="0.25">
      <c r="A13" s="13">
        <v>8</v>
      </c>
      <c r="B13" s="13" t="s">
        <v>212</v>
      </c>
      <c r="C13" s="13"/>
      <c r="D13" s="3"/>
      <c r="E13" s="13"/>
      <c r="F13" s="13"/>
      <c r="G13" s="13"/>
      <c r="H13" s="13"/>
    </row>
    <row r="14" spans="1:8" x14ac:dyDescent="0.25">
      <c r="A14" s="13">
        <v>9</v>
      </c>
      <c r="B14" s="13" t="s">
        <v>213</v>
      </c>
      <c r="C14" s="13"/>
      <c r="D14" s="3"/>
      <c r="E14" s="13"/>
      <c r="F14" s="13"/>
      <c r="G14" s="13"/>
      <c r="H14" s="13"/>
    </row>
    <row r="15" spans="1:8" x14ac:dyDescent="0.25">
      <c r="A15" s="13">
        <v>10</v>
      </c>
      <c r="B15" s="13" t="s">
        <v>214</v>
      </c>
      <c r="C15" s="13"/>
      <c r="D15" s="3"/>
      <c r="E15" s="13"/>
      <c r="F15" s="13"/>
      <c r="G15" s="13"/>
      <c r="H15" s="13"/>
    </row>
    <row r="16" spans="1:8" x14ac:dyDescent="0.25">
      <c r="A16" s="13">
        <v>11</v>
      </c>
      <c r="B16" s="13" t="s">
        <v>215</v>
      </c>
      <c r="C16" s="13"/>
      <c r="D16" s="3"/>
      <c r="E16" s="13"/>
      <c r="F16" s="13"/>
      <c r="G16" s="13"/>
      <c r="H16" s="13"/>
    </row>
    <row r="17" spans="1:8" x14ac:dyDescent="0.25">
      <c r="A17" s="13">
        <v>12</v>
      </c>
      <c r="B17" s="13" t="s">
        <v>216</v>
      </c>
      <c r="C17" s="13"/>
      <c r="D17" s="3"/>
      <c r="E17" s="13"/>
      <c r="F17" s="13"/>
      <c r="G17" s="13"/>
      <c r="H17" s="13"/>
    </row>
    <row r="18" spans="1:8" x14ac:dyDescent="0.25">
      <c r="A18" s="13">
        <v>13</v>
      </c>
      <c r="B18" s="13" t="s">
        <v>217</v>
      </c>
      <c r="C18" s="13"/>
      <c r="D18" s="3"/>
      <c r="E18" s="13"/>
      <c r="F18" s="13"/>
      <c r="G18" s="13"/>
      <c r="H18" s="13"/>
    </row>
    <row r="19" spans="1:8" x14ac:dyDescent="0.25">
      <c r="A19" s="13">
        <v>14</v>
      </c>
      <c r="B19" s="13" t="s">
        <v>218</v>
      </c>
      <c r="C19" s="13"/>
      <c r="D19" s="3"/>
      <c r="E19" s="13"/>
      <c r="F19" s="13"/>
      <c r="G19" s="13"/>
      <c r="H19" s="13"/>
    </row>
    <row r="20" spans="1:8" x14ac:dyDescent="0.25">
      <c r="A20" s="13">
        <v>15</v>
      </c>
      <c r="B20" s="13" t="s">
        <v>219</v>
      </c>
      <c r="C20" s="13"/>
      <c r="D20" s="3"/>
      <c r="E20" s="13"/>
      <c r="F20" s="13"/>
      <c r="G20" s="13"/>
      <c r="H20" s="13"/>
    </row>
    <row r="21" spans="1:8" x14ac:dyDescent="0.25">
      <c r="A21" s="13">
        <v>16</v>
      </c>
      <c r="B21" s="13" t="s">
        <v>220</v>
      </c>
      <c r="C21" s="13"/>
      <c r="D21" s="3"/>
      <c r="E21" s="13"/>
      <c r="F21" s="13"/>
      <c r="G21" s="13"/>
      <c r="H21" s="13"/>
    </row>
    <row r="22" spans="1:8" x14ac:dyDescent="0.25">
      <c r="A22" s="13">
        <v>17</v>
      </c>
      <c r="B22" s="13" t="s">
        <v>221</v>
      </c>
      <c r="C22" s="13"/>
      <c r="D22" s="3"/>
      <c r="E22" s="13"/>
      <c r="F22" s="13"/>
      <c r="G22" s="13"/>
      <c r="H22" s="13"/>
    </row>
    <row r="23" spans="1:8" x14ac:dyDescent="0.25">
      <c r="A23" s="13">
        <v>18</v>
      </c>
      <c r="B23" s="13" t="s">
        <v>222</v>
      </c>
      <c r="C23" s="13"/>
      <c r="D23" s="3"/>
      <c r="E23" s="13"/>
      <c r="F23" s="13"/>
      <c r="G23" s="13"/>
      <c r="H23" s="13"/>
    </row>
    <row r="24" spans="1:8" x14ac:dyDescent="0.25">
      <c r="A24" s="13">
        <v>19</v>
      </c>
      <c r="B24" s="13" t="s">
        <v>223</v>
      </c>
      <c r="C24" s="13"/>
      <c r="D24" s="3"/>
      <c r="E24" s="13"/>
      <c r="F24" s="13"/>
      <c r="G24" s="13"/>
      <c r="H24" s="13"/>
    </row>
    <row r="25" spans="1:8" x14ac:dyDescent="0.25">
      <c r="A25" s="13">
        <v>20</v>
      </c>
      <c r="B25" s="13" t="s">
        <v>224</v>
      </c>
      <c r="C25" s="13"/>
      <c r="D25" s="3"/>
      <c r="E25" s="13"/>
      <c r="F25" s="13"/>
      <c r="G25" s="13"/>
      <c r="H25" s="13"/>
    </row>
    <row r="26" spans="1:8" x14ac:dyDescent="0.25">
      <c r="A26" s="13">
        <v>21</v>
      </c>
      <c r="B26" s="13" t="s">
        <v>225</v>
      </c>
      <c r="C26" s="13"/>
      <c r="D26" s="3"/>
      <c r="E26" s="13"/>
      <c r="F26" s="13"/>
      <c r="G26" s="13"/>
      <c r="H26" s="13"/>
    </row>
    <row r="27" spans="1:8" x14ac:dyDescent="0.25">
      <c r="A27" s="13">
        <v>22</v>
      </c>
      <c r="B27" s="13" t="s">
        <v>226</v>
      </c>
      <c r="C27" s="13"/>
      <c r="D27" s="3"/>
      <c r="E27" s="13"/>
      <c r="F27" s="13"/>
      <c r="G27" s="13"/>
      <c r="H27" s="13"/>
    </row>
    <row r="28" spans="1:8" x14ac:dyDescent="0.25">
      <c r="A28" s="13">
        <v>23</v>
      </c>
      <c r="B28" s="13" t="s">
        <v>227</v>
      </c>
      <c r="C28" s="13"/>
      <c r="D28" s="3"/>
      <c r="E28" s="13"/>
      <c r="F28" s="13"/>
      <c r="G28" s="13"/>
      <c r="H28" s="13"/>
    </row>
  </sheetData>
  <mergeCells count="6">
    <mergeCell ref="A3:A4"/>
    <mergeCell ref="B3:B4"/>
    <mergeCell ref="C3:E3"/>
    <mergeCell ref="F3:H3"/>
    <mergeCell ref="A1:H1"/>
    <mergeCell ref="A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SheetToCSV">
                <anchor moveWithCells="1" sizeWithCells="1">
                  <from>
                    <xdr:col>9</xdr:col>
                    <xdr:colOff>28575</xdr:colOff>
                    <xdr:row>3</xdr:row>
                    <xdr:rowOff>28575</xdr:rowOff>
                  </from>
                  <to>
                    <xdr:col>10</xdr:col>
                    <xdr:colOff>47625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xportRangeToCSVFile">
                <anchor moveWithCells="1" sizeWithCells="1">
                  <from>
                    <xdr:col>11</xdr:col>
                    <xdr:colOff>9525</xdr:colOff>
                    <xdr:row>2</xdr:row>
                    <xdr:rowOff>161925</xdr:rowOff>
                  </from>
                  <to>
                    <xdr:col>12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H73"/>
  <sheetViews>
    <sheetView workbookViewId="0">
      <selection activeCell="J26" sqref="J26"/>
    </sheetView>
  </sheetViews>
  <sheetFormatPr defaultRowHeight="15" x14ac:dyDescent="0.25"/>
  <cols>
    <col min="1" max="1" width="10.140625" bestFit="1" customWidth="1"/>
    <col min="2" max="2" width="36.28515625" bestFit="1" customWidth="1"/>
    <col min="3" max="3" width="7.7109375" bestFit="1" customWidth="1"/>
    <col min="4" max="4" width="12" bestFit="1" customWidth="1"/>
    <col min="5" max="5" width="11.5703125" bestFit="1" customWidth="1"/>
    <col min="6" max="6" width="8" bestFit="1" customWidth="1"/>
    <col min="7" max="7" width="7.7109375" bestFit="1" customWidth="1"/>
    <col min="8" max="8" width="14.140625" bestFit="1" customWidth="1"/>
  </cols>
  <sheetData>
    <row r="1" spans="1:8" x14ac:dyDescent="0.25">
      <c r="A1" s="56" t="s">
        <v>136</v>
      </c>
      <c r="B1" s="56"/>
      <c r="C1" s="56"/>
      <c r="D1" s="56"/>
      <c r="E1" s="56"/>
      <c r="F1" s="56"/>
      <c r="G1" s="56"/>
      <c r="H1" s="56"/>
    </row>
    <row r="2" spans="1:8" x14ac:dyDescent="0.25">
      <c r="A2" s="57" t="s">
        <v>137</v>
      </c>
      <c r="B2" s="57"/>
      <c r="C2" s="57"/>
      <c r="D2" s="57"/>
      <c r="E2" s="57"/>
      <c r="F2" s="57"/>
      <c r="G2" s="57"/>
      <c r="H2" s="57"/>
    </row>
    <row r="3" spans="1:8" x14ac:dyDescent="0.25">
      <c r="A3" s="54" t="s">
        <v>138</v>
      </c>
      <c r="B3" s="54" t="s">
        <v>139</v>
      </c>
      <c r="C3" s="60" t="s">
        <v>140</v>
      </c>
      <c r="D3" s="61"/>
      <c r="E3" s="54"/>
      <c r="F3" s="60" t="s">
        <v>141</v>
      </c>
      <c r="G3" s="61"/>
      <c r="H3" s="54"/>
    </row>
    <row r="4" spans="1:8" ht="45" x14ac:dyDescent="0.25">
      <c r="A4" s="55"/>
      <c r="B4" s="55"/>
      <c r="C4" s="11" t="s">
        <v>142</v>
      </c>
      <c r="D4" s="10" t="s">
        <v>143</v>
      </c>
      <c r="E4" s="10" t="s">
        <v>144</v>
      </c>
      <c r="F4" s="11" t="s">
        <v>145</v>
      </c>
      <c r="G4" s="10" t="s">
        <v>146</v>
      </c>
      <c r="H4" s="10" t="s">
        <v>147</v>
      </c>
    </row>
    <row r="5" spans="1:8" x14ac:dyDescent="0.25">
      <c r="A5" s="9">
        <v>6006010</v>
      </c>
      <c r="B5" s="9" t="s">
        <v>148</v>
      </c>
      <c r="C5" s="9">
        <v>0</v>
      </c>
      <c r="D5" s="9"/>
      <c r="E5" s="9">
        <v>0</v>
      </c>
      <c r="F5" s="9">
        <v>0</v>
      </c>
      <c r="G5" s="9"/>
      <c r="H5" s="9">
        <v>0</v>
      </c>
    </row>
    <row r="6" spans="1:8" x14ac:dyDescent="0.25">
      <c r="A6" s="9">
        <v>6006031</v>
      </c>
      <c r="B6" s="9" t="s">
        <v>149</v>
      </c>
      <c r="C6" s="9">
        <v>0</v>
      </c>
      <c r="D6" s="9"/>
      <c r="E6" s="9">
        <v>0</v>
      </c>
      <c r="F6" s="9">
        <v>0</v>
      </c>
      <c r="G6" s="9"/>
      <c r="H6" s="9">
        <v>0</v>
      </c>
    </row>
    <row r="7" spans="1:8" x14ac:dyDescent="0.25">
      <c r="A7" s="9">
        <v>6006032</v>
      </c>
      <c r="B7" s="9" t="s">
        <v>150</v>
      </c>
      <c r="C7" s="9">
        <v>0</v>
      </c>
      <c r="D7" s="9"/>
      <c r="E7" s="9">
        <v>0</v>
      </c>
      <c r="F7" s="9">
        <v>0</v>
      </c>
      <c r="G7" s="9"/>
      <c r="H7" s="9">
        <v>0</v>
      </c>
    </row>
    <row r="8" spans="1:8" x14ac:dyDescent="0.25">
      <c r="A8" s="9">
        <v>6006033</v>
      </c>
      <c r="B8" s="9" t="s">
        <v>151</v>
      </c>
      <c r="C8" s="9">
        <v>0</v>
      </c>
      <c r="D8" s="9"/>
      <c r="E8" s="9">
        <v>0</v>
      </c>
      <c r="F8" s="9">
        <v>0</v>
      </c>
      <c r="G8" s="9"/>
      <c r="H8" s="9">
        <v>0</v>
      </c>
    </row>
    <row r="9" spans="1:8" x14ac:dyDescent="0.25">
      <c r="A9" s="9">
        <v>6006011</v>
      </c>
      <c r="B9" s="9" t="s">
        <v>152</v>
      </c>
      <c r="C9" s="9">
        <v>0</v>
      </c>
      <c r="D9" s="9"/>
      <c r="E9" s="9">
        <v>0</v>
      </c>
      <c r="F9" s="9">
        <v>0</v>
      </c>
      <c r="G9" s="9"/>
      <c r="H9" s="9">
        <v>0</v>
      </c>
    </row>
    <row r="10" spans="1:8" x14ac:dyDescent="0.25">
      <c r="A10" s="9">
        <v>6006012</v>
      </c>
      <c r="B10" s="9" t="s">
        <v>153</v>
      </c>
      <c r="C10" s="9">
        <v>0</v>
      </c>
      <c r="D10" s="9"/>
      <c r="E10" s="9">
        <v>0</v>
      </c>
      <c r="F10" s="9">
        <v>0</v>
      </c>
      <c r="G10" s="9"/>
      <c r="H10" s="9">
        <v>0</v>
      </c>
    </row>
    <row r="11" spans="1:8" x14ac:dyDescent="0.25">
      <c r="A11" s="9">
        <v>6006013</v>
      </c>
      <c r="B11" s="9" t="s">
        <v>154</v>
      </c>
      <c r="C11" s="9">
        <v>0</v>
      </c>
      <c r="D11" s="9"/>
      <c r="E11" s="9">
        <v>0</v>
      </c>
      <c r="F11" s="9">
        <v>0</v>
      </c>
      <c r="G11" s="9"/>
      <c r="H11" s="9">
        <v>0</v>
      </c>
    </row>
    <row r="12" spans="1:8" x14ac:dyDescent="0.25">
      <c r="A12" s="9">
        <v>6006014</v>
      </c>
      <c r="B12" s="9" t="s">
        <v>155</v>
      </c>
      <c r="C12" s="9">
        <v>0</v>
      </c>
      <c r="D12" s="9"/>
      <c r="E12" s="9">
        <v>0</v>
      </c>
      <c r="F12" s="9">
        <v>0</v>
      </c>
      <c r="G12" s="9"/>
      <c r="H12" s="9">
        <v>0</v>
      </c>
    </row>
    <row r="13" spans="1:8" x14ac:dyDescent="0.25">
      <c r="A13" s="9">
        <v>6006021</v>
      </c>
      <c r="B13" s="9" t="s">
        <v>156</v>
      </c>
      <c r="C13" s="9">
        <v>0</v>
      </c>
      <c r="D13" s="9"/>
      <c r="E13" s="9">
        <v>0</v>
      </c>
      <c r="F13" s="9">
        <v>0</v>
      </c>
      <c r="G13" s="9"/>
      <c r="H13" s="9">
        <v>0</v>
      </c>
    </row>
    <row r="14" spans="1:8" x14ac:dyDescent="0.25">
      <c r="A14" s="9">
        <v>6006022</v>
      </c>
      <c r="B14" s="9" t="s">
        <v>157</v>
      </c>
      <c r="C14" s="9">
        <v>0</v>
      </c>
      <c r="D14" s="9"/>
      <c r="E14" s="9">
        <v>0</v>
      </c>
      <c r="F14" s="9">
        <v>0</v>
      </c>
      <c r="G14" s="9"/>
      <c r="H14" s="9">
        <v>0</v>
      </c>
    </row>
    <row r="15" spans="1:8" x14ac:dyDescent="0.25">
      <c r="A15" s="9">
        <v>6006023</v>
      </c>
      <c r="B15" s="9" t="s">
        <v>158</v>
      </c>
      <c r="C15" s="9">
        <v>0</v>
      </c>
      <c r="D15" s="9"/>
      <c r="E15" s="9">
        <v>0</v>
      </c>
      <c r="F15" s="9">
        <v>0</v>
      </c>
      <c r="G15" s="9"/>
      <c r="H15" s="9">
        <v>0</v>
      </c>
    </row>
    <row r="16" spans="1:8" x14ac:dyDescent="0.25">
      <c r="A16" s="9">
        <v>6006007</v>
      </c>
      <c r="B16" s="9" t="s">
        <v>159</v>
      </c>
      <c r="C16" s="9">
        <v>0</v>
      </c>
      <c r="D16" s="9"/>
      <c r="E16" s="9">
        <v>0</v>
      </c>
      <c r="F16" s="9">
        <v>0</v>
      </c>
      <c r="G16" s="9"/>
      <c r="H16" s="9">
        <v>0</v>
      </c>
    </row>
    <row r="17" spans="1:8" x14ac:dyDescent="0.25">
      <c r="A17" s="9">
        <v>9900272</v>
      </c>
      <c r="B17" s="9" t="s">
        <v>160</v>
      </c>
      <c r="C17" s="9"/>
      <c r="D17" s="9"/>
      <c r="E17" s="9"/>
      <c r="F17" s="9"/>
      <c r="G17" s="9"/>
      <c r="H17" s="9"/>
    </row>
    <row r="18" spans="1:8" x14ac:dyDescent="0.25">
      <c r="A18" s="9">
        <v>6000374</v>
      </c>
      <c r="B18" s="9" t="s">
        <v>161</v>
      </c>
      <c r="C18" s="9"/>
      <c r="D18" s="9"/>
      <c r="E18" s="9"/>
      <c r="F18" s="9"/>
      <c r="G18" s="9"/>
      <c r="H18" s="9"/>
    </row>
    <row r="19" spans="1:8" x14ac:dyDescent="0.25">
      <c r="A19" s="9">
        <v>6000100</v>
      </c>
      <c r="B19" s="9" t="s">
        <v>162</v>
      </c>
      <c r="C19" s="9"/>
      <c r="D19" s="9"/>
      <c r="E19" s="9"/>
      <c r="F19" s="9"/>
      <c r="G19" s="9"/>
      <c r="H19" s="9"/>
    </row>
    <row r="20" spans="1:8" x14ac:dyDescent="0.25">
      <c r="A20" s="9">
        <v>6000371</v>
      </c>
      <c r="B20" s="9" t="s">
        <v>163</v>
      </c>
      <c r="C20" s="9"/>
      <c r="D20" s="9"/>
      <c r="E20" s="9"/>
      <c r="F20" s="9"/>
      <c r="G20" s="9"/>
      <c r="H20" s="9"/>
    </row>
    <row r="21" spans="1:8" x14ac:dyDescent="0.25">
      <c r="A21" s="9">
        <v>6000373</v>
      </c>
      <c r="B21" s="9" t="s">
        <v>164</v>
      </c>
      <c r="C21" s="9"/>
      <c r="D21" s="9"/>
      <c r="E21" s="9"/>
      <c r="F21" s="9"/>
      <c r="G21" s="9"/>
      <c r="H21" s="9"/>
    </row>
    <row r="22" spans="1:8" x14ac:dyDescent="0.25">
      <c r="A22" s="9">
        <v>6000034</v>
      </c>
      <c r="B22" s="9" t="s">
        <v>165</v>
      </c>
      <c r="C22" s="9"/>
      <c r="D22" s="9"/>
      <c r="E22" s="9"/>
      <c r="F22" s="9"/>
      <c r="G22" s="9"/>
      <c r="H22" s="9"/>
    </row>
    <row r="23" spans="1:8" x14ac:dyDescent="0.25">
      <c r="A23" s="9">
        <v>6000036</v>
      </c>
      <c r="B23" s="9" t="s">
        <v>166</v>
      </c>
      <c r="C23" s="9"/>
      <c r="D23" s="9"/>
      <c r="E23" s="9"/>
      <c r="F23" s="9"/>
      <c r="G23" s="9"/>
      <c r="H23" s="9"/>
    </row>
    <row r="24" spans="1:8" x14ac:dyDescent="0.25">
      <c r="A24" s="9">
        <v>3012055</v>
      </c>
      <c r="B24" s="9" t="s">
        <v>167</v>
      </c>
      <c r="C24" s="9">
        <v>0</v>
      </c>
      <c r="D24" s="9"/>
      <c r="E24" s="9">
        <v>0</v>
      </c>
      <c r="F24" s="9">
        <v>0</v>
      </c>
      <c r="G24" s="9"/>
      <c r="H24" s="9">
        <v>0</v>
      </c>
    </row>
    <row r="25" spans="1:8" x14ac:dyDescent="0.25">
      <c r="A25" s="9">
        <v>1000341</v>
      </c>
      <c r="B25" s="9" t="s">
        <v>168</v>
      </c>
      <c r="C25" s="9"/>
      <c r="D25" s="9"/>
      <c r="E25" s="9"/>
      <c r="F25" s="9"/>
      <c r="G25" s="9"/>
      <c r="H25" s="9"/>
    </row>
    <row r="26" spans="1:8" x14ac:dyDescent="0.25">
      <c r="A26" s="9">
        <v>1000321</v>
      </c>
      <c r="B26" s="9" t="s">
        <v>169</v>
      </c>
      <c r="C26" s="9"/>
      <c r="D26" s="9"/>
      <c r="E26" s="9"/>
      <c r="F26" s="9"/>
      <c r="G26" s="9"/>
      <c r="H26" s="9"/>
    </row>
    <row r="27" spans="1:8" x14ac:dyDescent="0.25">
      <c r="A27" s="9">
        <v>1000311</v>
      </c>
      <c r="B27" s="9" t="s">
        <v>170</v>
      </c>
      <c r="C27" s="9"/>
      <c r="D27" s="9"/>
      <c r="E27" s="9"/>
      <c r="F27" s="9"/>
      <c r="G27" s="9"/>
      <c r="H27" s="9"/>
    </row>
    <row r="28" spans="1:8" x14ac:dyDescent="0.25">
      <c r="A28" s="9">
        <v>2110330</v>
      </c>
      <c r="B28" s="9" t="s">
        <v>171</v>
      </c>
      <c r="C28" s="9"/>
      <c r="D28" s="9"/>
      <c r="E28" s="9"/>
      <c r="F28" s="9"/>
      <c r="G28" s="9"/>
      <c r="H28" s="9"/>
    </row>
    <row r="29" spans="1:8" x14ac:dyDescent="0.25">
      <c r="A29" s="9">
        <v>2000421</v>
      </c>
      <c r="B29" s="9" t="s">
        <v>172</v>
      </c>
      <c r="C29" s="9"/>
      <c r="D29" s="9"/>
      <c r="E29" s="9"/>
      <c r="F29" s="9"/>
      <c r="G29" s="9"/>
      <c r="H29" s="9"/>
    </row>
    <row r="30" spans="1:8" x14ac:dyDescent="0.25">
      <c r="A30" s="9">
        <v>5000581</v>
      </c>
      <c r="B30" s="9" t="s">
        <v>173</v>
      </c>
      <c r="C30" s="9"/>
      <c r="D30" s="9"/>
      <c r="E30" s="9"/>
      <c r="F30" s="9"/>
      <c r="G30" s="9"/>
      <c r="H30" s="9"/>
    </row>
    <row r="31" spans="1:8" x14ac:dyDescent="0.25">
      <c r="A31" s="9">
        <v>9900271</v>
      </c>
      <c r="B31" s="9" t="s">
        <v>174</v>
      </c>
      <c r="C31" s="9"/>
      <c r="D31" s="9"/>
      <c r="E31" s="9"/>
      <c r="F31" s="9"/>
      <c r="G31" s="9"/>
      <c r="H31" s="9"/>
    </row>
    <row r="32" spans="1:8" x14ac:dyDescent="0.25">
      <c r="A32" s="9">
        <v>6000328</v>
      </c>
      <c r="B32" s="9" t="s">
        <v>161</v>
      </c>
      <c r="C32" s="9"/>
      <c r="D32" s="9"/>
      <c r="E32" s="9"/>
      <c r="F32" s="9"/>
      <c r="G32" s="9"/>
      <c r="H32" s="9"/>
    </row>
    <row r="33" spans="1:8" x14ac:dyDescent="0.25">
      <c r="A33" s="9">
        <v>6000099</v>
      </c>
      <c r="B33" s="9" t="s">
        <v>162</v>
      </c>
      <c r="C33" s="9"/>
      <c r="D33" s="9"/>
      <c r="E33" s="9"/>
      <c r="F33" s="9"/>
      <c r="G33" s="9"/>
      <c r="H33" s="9"/>
    </row>
    <row r="34" spans="1:8" x14ac:dyDescent="0.25">
      <c r="A34" s="9">
        <v>6000325</v>
      </c>
      <c r="B34" s="9" t="s">
        <v>163</v>
      </c>
      <c r="C34" s="9"/>
      <c r="D34" s="9"/>
      <c r="E34" s="9"/>
      <c r="F34" s="9"/>
      <c r="G34" s="9"/>
      <c r="H34" s="9"/>
    </row>
    <row r="35" spans="1:8" x14ac:dyDescent="0.25">
      <c r="A35" s="9">
        <v>6000327</v>
      </c>
      <c r="B35" s="9" t="s">
        <v>164</v>
      </c>
      <c r="C35" s="9"/>
      <c r="D35" s="9"/>
      <c r="E35" s="9"/>
      <c r="F35" s="9"/>
      <c r="G35" s="9"/>
      <c r="H35" s="9"/>
    </row>
    <row r="36" spans="1:8" x14ac:dyDescent="0.25">
      <c r="A36" s="9">
        <v>6000033</v>
      </c>
      <c r="B36" s="9" t="s">
        <v>165</v>
      </c>
      <c r="C36" s="9"/>
      <c r="D36" s="9"/>
      <c r="E36" s="9"/>
      <c r="F36" s="9"/>
      <c r="G36" s="9"/>
      <c r="H36" s="9"/>
    </row>
    <row r="37" spans="1:8" x14ac:dyDescent="0.25">
      <c r="A37" s="9">
        <v>6000035</v>
      </c>
      <c r="B37" s="9" t="s">
        <v>166</v>
      </c>
      <c r="C37" s="9"/>
      <c r="D37" s="9"/>
      <c r="E37" s="9"/>
      <c r="F37" s="9"/>
      <c r="G37" s="9"/>
      <c r="H37" s="9"/>
    </row>
    <row r="38" spans="1:8" x14ac:dyDescent="0.25">
      <c r="A38" s="9">
        <v>3012041</v>
      </c>
      <c r="B38" s="9" t="s">
        <v>167</v>
      </c>
      <c r="C38" s="9">
        <v>0</v>
      </c>
      <c r="D38" s="9"/>
      <c r="E38" s="9">
        <v>0</v>
      </c>
      <c r="F38" s="9">
        <v>0</v>
      </c>
      <c r="G38" s="9"/>
      <c r="H38" s="9">
        <v>0</v>
      </c>
    </row>
    <row r="39" spans="1:8" x14ac:dyDescent="0.25">
      <c r="A39" s="9">
        <v>1000342</v>
      </c>
      <c r="B39" s="9" t="s">
        <v>168</v>
      </c>
      <c r="C39" s="9"/>
      <c r="D39" s="9"/>
      <c r="E39" s="9"/>
      <c r="F39" s="9"/>
      <c r="G39" s="9"/>
      <c r="H39" s="9"/>
    </row>
    <row r="40" spans="1:8" x14ac:dyDescent="0.25">
      <c r="A40" s="9">
        <v>1000322</v>
      </c>
      <c r="B40" s="9" t="s">
        <v>169</v>
      </c>
      <c r="C40" s="9"/>
      <c r="D40" s="9"/>
      <c r="E40" s="9"/>
      <c r="F40" s="9"/>
      <c r="G40" s="9"/>
      <c r="H40" s="9"/>
    </row>
    <row r="41" spans="1:8" x14ac:dyDescent="0.25">
      <c r="A41" s="9">
        <v>1000312</v>
      </c>
      <c r="B41" s="9" t="s">
        <v>170</v>
      </c>
      <c r="C41" s="9"/>
      <c r="D41" s="9"/>
      <c r="E41" s="9"/>
      <c r="F41" s="9"/>
      <c r="G41" s="9"/>
      <c r="H41" s="9"/>
    </row>
    <row r="42" spans="1:8" x14ac:dyDescent="0.25">
      <c r="A42" s="9">
        <v>2110221</v>
      </c>
      <c r="B42" s="9" t="s">
        <v>171</v>
      </c>
      <c r="C42" s="9"/>
      <c r="D42" s="9"/>
      <c r="E42" s="9"/>
      <c r="F42" s="9"/>
      <c r="G42" s="9"/>
      <c r="H42" s="9"/>
    </row>
    <row r="43" spans="1:8" x14ac:dyDescent="0.25">
      <c r="A43" s="9">
        <v>2000422</v>
      </c>
      <c r="B43" s="9" t="s">
        <v>172</v>
      </c>
      <c r="C43" s="9"/>
      <c r="D43" s="9"/>
      <c r="E43" s="9"/>
      <c r="F43" s="9"/>
      <c r="G43" s="9"/>
      <c r="H43" s="9"/>
    </row>
    <row r="44" spans="1:8" x14ac:dyDescent="0.25">
      <c r="A44" s="9">
        <v>5000582</v>
      </c>
      <c r="B44" s="9" t="s">
        <v>173</v>
      </c>
      <c r="C44" s="9"/>
      <c r="D44" s="9"/>
      <c r="E44" s="9"/>
      <c r="F44" s="9"/>
      <c r="G44" s="9"/>
      <c r="H44" s="9"/>
    </row>
    <row r="45" spans="1:8" x14ac:dyDescent="0.25">
      <c r="A45" s="9">
        <v>9900273</v>
      </c>
      <c r="B45" s="9" t="s">
        <v>175</v>
      </c>
      <c r="C45" s="9">
        <v>0</v>
      </c>
      <c r="D45" s="9"/>
      <c r="E45" s="9">
        <v>0</v>
      </c>
      <c r="F45" s="9">
        <v>0</v>
      </c>
      <c r="G45" s="9"/>
      <c r="H45" s="9">
        <v>0</v>
      </c>
    </row>
    <row r="46" spans="1:8" x14ac:dyDescent="0.25">
      <c r="A46" s="9">
        <v>9900274</v>
      </c>
      <c r="B46" s="9" t="s">
        <v>176</v>
      </c>
      <c r="C46" s="9">
        <v>0</v>
      </c>
      <c r="D46" s="9"/>
      <c r="E46" s="9">
        <v>0</v>
      </c>
      <c r="F46" s="9">
        <v>0</v>
      </c>
      <c r="G46" s="9"/>
      <c r="H46" s="9">
        <v>0</v>
      </c>
    </row>
    <row r="47" spans="1:8" x14ac:dyDescent="0.25">
      <c r="A47" s="9">
        <v>9900275</v>
      </c>
      <c r="B47" s="9" t="s">
        <v>177</v>
      </c>
      <c r="C47" s="9">
        <v>0</v>
      </c>
      <c r="D47" s="9"/>
      <c r="E47" s="9">
        <v>0</v>
      </c>
      <c r="F47" s="9">
        <v>0</v>
      </c>
      <c r="G47" s="9"/>
      <c r="H47" s="9">
        <v>0</v>
      </c>
    </row>
    <row r="48" spans="1:8" x14ac:dyDescent="0.25">
      <c r="A48" s="9">
        <v>3012045</v>
      </c>
      <c r="B48" s="9" t="s">
        <v>178</v>
      </c>
      <c r="C48" s="9"/>
      <c r="D48" s="9"/>
      <c r="E48" s="9"/>
      <c r="F48" s="9"/>
      <c r="G48" s="9"/>
      <c r="H48" s="9"/>
    </row>
    <row r="49" spans="1:8" x14ac:dyDescent="0.25">
      <c r="A49" s="9">
        <v>9900276</v>
      </c>
      <c r="B49" s="9" t="s">
        <v>179</v>
      </c>
      <c r="C49" s="9">
        <v>0</v>
      </c>
      <c r="D49" s="9"/>
      <c r="E49" s="9">
        <v>0</v>
      </c>
      <c r="F49" s="9">
        <v>0</v>
      </c>
      <c r="G49" s="9"/>
      <c r="H49" s="9">
        <v>0</v>
      </c>
    </row>
    <row r="50" spans="1:8" x14ac:dyDescent="0.25">
      <c r="A50" s="9">
        <v>7070201</v>
      </c>
      <c r="B50" s="9" t="s">
        <v>180</v>
      </c>
      <c r="C50" s="9">
        <v>0</v>
      </c>
      <c r="D50" s="9"/>
      <c r="E50" s="9">
        <v>0</v>
      </c>
      <c r="F50" s="9">
        <v>0</v>
      </c>
      <c r="G50" s="9"/>
      <c r="H50" s="9">
        <v>0</v>
      </c>
    </row>
    <row r="51" spans="1:8" x14ac:dyDescent="0.25">
      <c r="A51" s="9">
        <v>6102011</v>
      </c>
      <c r="B51" s="9" t="s">
        <v>181</v>
      </c>
      <c r="C51" s="9"/>
      <c r="D51" s="9"/>
      <c r="E51" s="9"/>
      <c r="F51" s="9"/>
      <c r="G51" s="9"/>
      <c r="H51" s="9"/>
    </row>
    <row r="52" spans="1:8" x14ac:dyDescent="0.25">
      <c r="A52" s="9">
        <v>7050011</v>
      </c>
      <c r="B52" s="9" t="s">
        <v>182</v>
      </c>
      <c r="C52" s="9">
        <v>0</v>
      </c>
      <c r="D52" s="9"/>
      <c r="E52" s="9">
        <v>0</v>
      </c>
      <c r="F52" s="9">
        <v>0</v>
      </c>
      <c r="G52" s="9"/>
      <c r="H52" s="9">
        <v>0</v>
      </c>
    </row>
    <row r="53" spans="1:8" x14ac:dyDescent="0.25">
      <c r="A53" s="9">
        <v>6090421</v>
      </c>
      <c r="B53" s="9" t="s">
        <v>183</v>
      </c>
      <c r="C53" s="9"/>
      <c r="D53" s="9"/>
      <c r="E53" s="9"/>
      <c r="F53" s="9"/>
      <c r="G53" s="9"/>
      <c r="H53" s="9"/>
    </row>
    <row r="54" spans="1:8" x14ac:dyDescent="0.25">
      <c r="A54" s="9">
        <v>9900277</v>
      </c>
      <c r="B54" s="9" t="s">
        <v>184</v>
      </c>
      <c r="C54" s="9">
        <v>0</v>
      </c>
      <c r="D54" s="9"/>
      <c r="E54" s="9">
        <v>0</v>
      </c>
      <c r="F54" s="9">
        <v>0</v>
      </c>
      <c r="G54" s="9"/>
      <c r="H54" s="9">
        <v>0</v>
      </c>
    </row>
    <row r="55" spans="1:8" x14ac:dyDescent="0.25">
      <c r="A55" s="9">
        <v>9900278</v>
      </c>
      <c r="B55" s="9" t="s">
        <v>185</v>
      </c>
      <c r="C55" s="9">
        <v>0</v>
      </c>
      <c r="D55" s="9"/>
      <c r="E55" s="9">
        <v>0</v>
      </c>
      <c r="F55" s="9">
        <v>0</v>
      </c>
      <c r="G55" s="9"/>
      <c r="H55" s="9">
        <v>0</v>
      </c>
    </row>
    <row r="56" spans="1:8" x14ac:dyDescent="0.25">
      <c r="A56" s="9">
        <v>2110250</v>
      </c>
      <c r="B56" s="9" t="s">
        <v>186</v>
      </c>
      <c r="C56" s="9"/>
      <c r="D56" s="9"/>
      <c r="E56" s="9"/>
      <c r="F56" s="9"/>
      <c r="G56" s="9"/>
      <c r="H56" s="9"/>
    </row>
    <row r="57" spans="1:8" x14ac:dyDescent="0.25">
      <c r="A57" s="9">
        <v>2110331</v>
      </c>
      <c r="B57" s="9" t="s">
        <v>187</v>
      </c>
      <c r="C57" s="9"/>
      <c r="D57" s="9"/>
      <c r="E57" s="9"/>
      <c r="F57" s="9"/>
      <c r="G57" s="9"/>
      <c r="H57" s="9"/>
    </row>
    <row r="58" spans="1:8" x14ac:dyDescent="0.25">
      <c r="A58" s="9">
        <v>9900279</v>
      </c>
      <c r="B58" s="9" t="s">
        <v>188</v>
      </c>
      <c r="C58" s="9">
        <v>0</v>
      </c>
      <c r="D58" s="9"/>
      <c r="E58" s="9">
        <v>0</v>
      </c>
      <c r="F58" s="9">
        <v>0</v>
      </c>
      <c r="G58" s="9"/>
      <c r="H58" s="9">
        <v>0</v>
      </c>
    </row>
    <row r="59" spans="1:8" x14ac:dyDescent="0.25">
      <c r="A59" s="9">
        <v>2000803</v>
      </c>
      <c r="B59" s="9" t="s">
        <v>189</v>
      </c>
      <c r="C59" s="9"/>
      <c r="D59" s="9"/>
      <c r="E59" s="9"/>
      <c r="F59" s="9"/>
      <c r="G59" s="9"/>
      <c r="H59" s="9"/>
    </row>
    <row r="60" spans="1:8" x14ac:dyDescent="0.25">
      <c r="A60" s="9">
        <v>9900280</v>
      </c>
      <c r="B60" s="9" t="s">
        <v>190</v>
      </c>
      <c r="C60" s="9">
        <v>0</v>
      </c>
      <c r="D60" s="9"/>
      <c r="E60" s="9">
        <v>0</v>
      </c>
      <c r="F60" s="9">
        <v>0</v>
      </c>
      <c r="G60" s="9"/>
      <c r="H60" s="9">
        <v>0</v>
      </c>
    </row>
    <row r="61" spans="1:8" x14ac:dyDescent="0.25">
      <c r="A61" s="9">
        <v>2110507</v>
      </c>
      <c r="B61" s="9" t="s">
        <v>191</v>
      </c>
      <c r="C61" s="9"/>
      <c r="D61" s="9"/>
      <c r="E61" s="9"/>
      <c r="F61" s="9"/>
      <c r="G61" s="9"/>
      <c r="H61" s="9"/>
    </row>
    <row r="62" spans="1:8" x14ac:dyDescent="0.25">
      <c r="A62" s="9">
        <v>9900285</v>
      </c>
      <c r="B62" s="9" t="s">
        <v>192</v>
      </c>
      <c r="C62" s="9">
        <v>0</v>
      </c>
      <c r="D62" s="9"/>
      <c r="E62" s="9">
        <v>0</v>
      </c>
      <c r="F62" s="9">
        <v>0</v>
      </c>
      <c r="G62" s="9"/>
      <c r="H62" s="9">
        <v>0</v>
      </c>
    </row>
    <row r="63" spans="1:8" x14ac:dyDescent="0.25">
      <c r="A63" s="9">
        <v>9900286</v>
      </c>
      <c r="B63" s="9" t="s">
        <v>193</v>
      </c>
      <c r="C63" s="9">
        <v>0</v>
      </c>
      <c r="D63" s="9"/>
      <c r="E63" s="9">
        <v>0</v>
      </c>
      <c r="F63" s="9">
        <v>0</v>
      </c>
      <c r="G63" s="9"/>
      <c r="H63" s="9">
        <v>0</v>
      </c>
    </row>
    <row r="64" spans="1:8" x14ac:dyDescent="0.25">
      <c r="A64" s="9">
        <v>1000317</v>
      </c>
      <c r="B64" s="9" t="s">
        <v>194</v>
      </c>
      <c r="C64" s="9"/>
      <c r="D64" s="9"/>
      <c r="E64" s="9"/>
      <c r="F64" s="9"/>
      <c r="G64" s="9"/>
      <c r="H64" s="9"/>
    </row>
    <row r="65" spans="1:8" x14ac:dyDescent="0.25">
      <c r="A65" s="9">
        <v>1093021</v>
      </c>
      <c r="B65" s="9" t="s">
        <v>195</v>
      </c>
      <c r="C65" s="9"/>
      <c r="D65" s="9"/>
      <c r="E65" s="9"/>
      <c r="F65" s="9"/>
      <c r="G65" s="9"/>
      <c r="H65" s="9"/>
    </row>
    <row r="66" spans="1:8" x14ac:dyDescent="0.25">
      <c r="A66" s="9">
        <v>9900287</v>
      </c>
      <c r="B66" s="9" t="s">
        <v>196</v>
      </c>
      <c r="C66" s="9">
        <v>0</v>
      </c>
      <c r="D66" s="9"/>
      <c r="E66" s="9">
        <v>0</v>
      </c>
      <c r="F66" s="9">
        <v>0</v>
      </c>
      <c r="G66" s="9"/>
      <c r="H66" s="9">
        <v>0</v>
      </c>
    </row>
    <row r="67" spans="1:8" x14ac:dyDescent="0.25">
      <c r="A67" s="9">
        <v>1100421</v>
      </c>
      <c r="B67" s="9" t="s">
        <v>197</v>
      </c>
      <c r="C67" s="9"/>
      <c r="D67" s="9"/>
      <c r="E67" s="9"/>
      <c r="F67" s="9"/>
      <c r="G67" s="9"/>
      <c r="H67" s="9"/>
    </row>
    <row r="68" spans="1:8" x14ac:dyDescent="0.25">
      <c r="A68" s="9">
        <v>6006007</v>
      </c>
      <c r="B68" s="9" t="s">
        <v>198</v>
      </c>
      <c r="C68" s="9">
        <v>0</v>
      </c>
      <c r="D68" s="9"/>
      <c r="E68" s="9">
        <v>0</v>
      </c>
      <c r="F68" s="9">
        <v>0</v>
      </c>
      <c r="G68" s="9"/>
      <c r="H68" s="9">
        <v>0</v>
      </c>
    </row>
    <row r="69" spans="1:8" x14ac:dyDescent="0.25">
      <c r="A69" s="9">
        <v>9900290</v>
      </c>
      <c r="B69" s="9" t="s">
        <v>199</v>
      </c>
      <c r="C69" s="9"/>
      <c r="D69" s="9"/>
      <c r="E69" s="9"/>
      <c r="F69" s="9"/>
      <c r="G69" s="9"/>
      <c r="H69" s="9"/>
    </row>
    <row r="70" spans="1:8" x14ac:dyDescent="0.25">
      <c r="A70" s="9">
        <v>6006009</v>
      </c>
      <c r="B70" s="9" t="s">
        <v>200</v>
      </c>
      <c r="C70" s="9">
        <v>0</v>
      </c>
      <c r="D70" s="9"/>
      <c r="E70" s="9">
        <v>0</v>
      </c>
      <c r="F70" s="9">
        <v>0</v>
      </c>
      <c r="G70" s="9"/>
      <c r="H70" s="9">
        <v>0</v>
      </c>
    </row>
    <row r="71" spans="1:8" x14ac:dyDescent="0.25">
      <c r="A71" s="9">
        <v>9900297</v>
      </c>
      <c r="B71" s="9" t="s">
        <v>201</v>
      </c>
      <c r="C71" s="9"/>
      <c r="D71" s="9">
        <v>20634437.577</v>
      </c>
      <c r="E71" s="9"/>
      <c r="F71" s="9"/>
      <c r="G71" s="9"/>
      <c r="H71" s="9"/>
    </row>
    <row r="72" spans="1:8" x14ac:dyDescent="0.25">
      <c r="A72" s="9">
        <v>9900299</v>
      </c>
      <c r="B72" s="9" t="s">
        <v>202</v>
      </c>
      <c r="C72" s="9"/>
      <c r="D72" s="9">
        <v>15972437.577</v>
      </c>
      <c r="E72" s="9"/>
      <c r="F72" s="9"/>
      <c r="G72" s="9"/>
      <c r="H72" s="9"/>
    </row>
    <row r="73" spans="1:8" x14ac:dyDescent="0.25">
      <c r="A73" s="9">
        <v>6006003</v>
      </c>
      <c r="B73" s="9" t="s">
        <v>203</v>
      </c>
      <c r="C73" s="9">
        <v>0</v>
      </c>
      <c r="D73" s="9"/>
      <c r="E73" s="9">
        <v>0</v>
      </c>
      <c r="F73" s="9">
        <v>0</v>
      </c>
      <c r="G73" s="9"/>
      <c r="H73" s="9">
        <v>0</v>
      </c>
    </row>
  </sheetData>
  <mergeCells count="6">
    <mergeCell ref="A3:A4"/>
    <mergeCell ref="B3:B4"/>
    <mergeCell ref="C3:E3"/>
    <mergeCell ref="F3:H3"/>
    <mergeCell ref="A1:H1"/>
    <mergeCell ref="A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SheetToCSV">
                <anchor moveWithCells="1" sizeWithCells="1">
                  <from>
                    <xdr:col>9</xdr:col>
                    <xdr:colOff>47625</xdr:colOff>
                    <xdr:row>3</xdr:row>
                    <xdr:rowOff>19050</xdr:rowOff>
                  </from>
                  <to>
                    <xdr:col>10</xdr:col>
                    <xdr:colOff>66675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2"/>
  <sheetViews>
    <sheetView tabSelected="1" zoomScale="85" zoomScaleNormal="85" workbookViewId="0">
      <selection activeCell="F207" sqref="F207"/>
    </sheetView>
  </sheetViews>
  <sheetFormatPr defaultRowHeight="15" x14ac:dyDescent="0.25"/>
  <cols>
    <col min="1" max="1" width="5.5703125" style="12" customWidth="1"/>
    <col min="2" max="2" width="6.5703125" style="12" customWidth="1"/>
    <col min="3" max="3" width="45.140625" style="4" customWidth="1"/>
    <col min="4" max="4" width="7" style="12" customWidth="1"/>
    <col min="5" max="5" width="9.140625" style="12" customWidth="1"/>
    <col min="6" max="6" width="86.5703125" bestFit="1" customWidth="1"/>
    <col min="7" max="7" width="109.85546875" customWidth="1"/>
  </cols>
  <sheetData>
    <row r="1" spans="1:7" s="12" customFormat="1" x14ac:dyDescent="0.25">
      <c r="A1" s="21" t="s">
        <v>321</v>
      </c>
      <c r="B1" s="21" t="s">
        <v>323</v>
      </c>
      <c r="C1" s="22" t="s">
        <v>324</v>
      </c>
      <c r="D1" s="21" t="s">
        <v>325</v>
      </c>
      <c r="E1" s="21" t="s">
        <v>328</v>
      </c>
      <c r="F1" s="21" t="s">
        <v>322</v>
      </c>
      <c r="G1" s="23"/>
    </row>
    <row r="2" spans="1:7" s="12" customFormat="1" x14ac:dyDescent="0.25">
      <c r="A2" s="23">
        <v>1</v>
      </c>
      <c r="B2" s="23" t="s">
        <v>326</v>
      </c>
      <c r="C2" s="24">
        <v>113</v>
      </c>
      <c r="D2" s="23">
        <v>3</v>
      </c>
      <c r="E2" s="23" t="s">
        <v>340</v>
      </c>
      <c r="F2" s="25" t="s">
        <v>329</v>
      </c>
      <c r="G2" s="23" t="str">
        <f>CONCATENATE("{_id:",A2,", fn:'",B2,"', args:'",C2,"', format:",D2,", units:'",E2,"', name:'",F2,"'},")</f>
        <v>{_id:1, fn:'F1', args:'113', format:3, units:'тис.м3', name:'Богородчанське ПСГ, Q ВОГ'},</v>
      </c>
    </row>
    <row r="3" spans="1:7" s="12" customFormat="1" x14ac:dyDescent="0.25">
      <c r="A3" s="23">
        <v>2</v>
      </c>
      <c r="B3" s="23" t="s">
        <v>326</v>
      </c>
      <c r="C3" s="24">
        <v>115</v>
      </c>
      <c r="D3" s="23">
        <v>3</v>
      </c>
      <c r="E3" s="23" t="s">
        <v>340</v>
      </c>
      <c r="F3" s="25" t="s">
        <v>330</v>
      </c>
      <c r="G3" s="23" t="str">
        <f t="shared" ref="G3:G66" si="0">CONCATENATE("{_id:",A3,", fn:'",B3,"', args:'",C3,"', format:",D3,", units:'",E3,"', name:'",F3,"'},")</f>
        <v>{_id:2, fn:'F1', args:'115', format:3, units:'тис.м3', name:'Дашавське ПСГ, Q ВОГ'},</v>
      </c>
    </row>
    <row r="4" spans="1:7" s="12" customFormat="1" x14ac:dyDescent="0.25">
      <c r="A4" s="23">
        <v>3</v>
      </c>
      <c r="B4" s="23" t="s">
        <v>326</v>
      </c>
      <c r="C4" s="24">
        <v>110</v>
      </c>
      <c r="D4" s="23">
        <v>3</v>
      </c>
      <c r="E4" s="23" t="s">
        <v>340</v>
      </c>
      <c r="F4" s="25" t="s">
        <v>331</v>
      </c>
      <c r="G4" s="23" t="str">
        <f t="shared" si="0"/>
        <v>{_id:3, fn:'F1', args:'110', format:3, units:'тис.м3', name:'Мринське ПСГ, Q ВОГ'},</v>
      </c>
    </row>
    <row r="5" spans="1:7" s="12" customFormat="1" x14ac:dyDescent="0.25">
      <c r="A5" s="23">
        <v>4</v>
      </c>
      <c r="B5" s="23" t="s">
        <v>326</v>
      </c>
      <c r="C5" s="24">
        <v>112</v>
      </c>
      <c r="D5" s="23">
        <v>3</v>
      </c>
      <c r="E5" s="23" t="s">
        <v>340</v>
      </c>
      <c r="F5" s="25" t="s">
        <v>332</v>
      </c>
      <c r="G5" s="23" t="str">
        <f t="shared" si="0"/>
        <v>{_id:4, fn:'F1', args:'112', format:3, units:'тис.м3', name:'Олишівське ПСГ, Q ВОГ'},</v>
      </c>
    </row>
    <row r="6" spans="1:7" s="12" customFormat="1" x14ac:dyDescent="0.25">
      <c r="A6" s="23">
        <v>5</v>
      </c>
      <c r="B6" s="23" t="s">
        <v>326</v>
      </c>
      <c r="C6" s="24">
        <v>111</v>
      </c>
      <c r="D6" s="23">
        <v>3</v>
      </c>
      <c r="E6" s="23" t="s">
        <v>340</v>
      </c>
      <c r="F6" s="25" t="s">
        <v>333</v>
      </c>
      <c r="G6" s="23" t="str">
        <f t="shared" si="0"/>
        <v>{_id:5, fn:'F1', args:'111', format:3, units:'тис.м3', name:'Солохівське ПСГ, Q ВОГ'},</v>
      </c>
    </row>
    <row r="7" spans="1:7" s="12" customFormat="1" x14ac:dyDescent="0.25">
      <c r="A7" s="23">
        <v>6</v>
      </c>
      <c r="B7" s="23" t="s">
        <v>326</v>
      </c>
      <c r="C7" s="24" t="s">
        <v>341</v>
      </c>
      <c r="D7" s="23">
        <v>3</v>
      </c>
      <c r="E7" s="23" t="s">
        <v>340</v>
      </c>
      <c r="F7" s="25" t="s">
        <v>334</v>
      </c>
      <c r="G7" s="23" t="str">
        <f t="shared" si="0"/>
        <v>{_id:6, fn:'F1', args:'114', format:3, units:'тис.м3', name:'Опарське ПСГ, Q ВОГ'},</v>
      </c>
    </row>
    <row r="8" spans="1:7" s="12" customFormat="1" x14ac:dyDescent="0.25">
      <c r="A8" s="23">
        <v>7</v>
      </c>
      <c r="B8" s="23" t="s">
        <v>326</v>
      </c>
      <c r="C8" s="24" t="s">
        <v>342</v>
      </c>
      <c r="D8" s="23">
        <v>3</v>
      </c>
      <c r="E8" s="23" t="s">
        <v>340</v>
      </c>
      <c r="F8" s="25" t="s">
        <v>335</v>
      </c>
      <c r="G8" s="23" t="str">
        <f t="shared" si="0"/>
        <v>{_id:7, fn:'F1', args:'125', format:3, units:'тис.м3', name:'Краснопопівське ПСГ, Q ВОГ'},</v>
      </c>
    </row>
    <row r="9" spans="1:7" s="12" customFormat="1" x14ac:dyDescent="0.25">
      <c r="A9" s="23">
        <v>8</v>
      </c>
      <c r="B9" s="23" t="s">
        <v>326</v>
      </c>
      <c r="C9" s="24" t="s">
        <v>343</v>
      </c>
      <c r="D9" s="23">
        <v>3</v>
      </c>
      <c r="E9" s="23" t="s">
        <v>340</v>
      </c>
      <c r="F9" s="25" t="s">
        <v>336</v>
      </c>
      <c r="G9" s="23" t="str">
        <f t="shared" si="0"/>
        <v>{_id:8, fn:'F1', args:'123', format:3, units:'тис.м3', name:'Пролетарське ПСГ, Q ВОГ'},</v>
      </c>
    </row>
    <row r="10" spans="1:7" s="12" customFormat="1" x14ac:dyDescent="0.25">
      <c r="A10" s="23">
        <v>9</v>
      </c>
      <c r="B10" s="23" t="s">
        <v>326</v>
      </c>
      <c r="C10" s="24" t="s">
        <v>344</v>
      </c>
      <c r="D10" s="23">
        <v>3</v>
      </c>
      <c r="E10" s="23" t="s">
        <v>340</v>
      </c>
      <c r="F10" s="25" t="s">
        <v>337</v>
      </c>
      <c r="G10" s="23" t="str">
        <f t="shared" si="0"/>
        <v>{_id:9, fn:'F1', args:'116', format:3, units:'тис.м3', name:'Угерське ПСГ, Q ВОГ'},</v>
      </c>
    </row>
    <row r="11" spans="1:7" s="12" customFormat="1" x14ac:dyDescent="0.25">
      <c r="A11" s="23">
        <v>10</v>
      </c>
      <c r="B11" s="23" t="s">
        <v>326</v>
      </c>
      <c r="C11" s="24" t="s">
        <v>345</v>
      </c>
      <c r="D11" s="23">
        <v>3</v>
      </c>
      <c r="E11" s="23" t="s">
        <v>340</v>
      </c>
      <c r="F11" s="25" t="s">
        <v>327</v>
      </c>
      <c r="G11" s="23" t="str">
        <f t="shared" si="0"/>
        <v>{_id:10, fn:'F1', args:'124', format:3, units:'тис.м3', name:'Кегичівське ПСГ'},</v>
      </c>
    </row>
    <row r="12" spans="1:7" s="12" customFormat="1" x14ac:dyDescent="0.25">
      <c r="A12" s="23">
        <v>11</v>
      </c>
      <c r="B12" s="23" t="s">
        <v>326</v>
      </c>
      <c r="C12" s="24" t="s">
        <v>348</v>
      </c>
      <c r="D12" s="23">
        <v>3</v>
      </c>
      <c r="E12" s="23" t="s">
        <v>340</v>
      </c>
      <c r="F12" s="25" t="s">
        <v>347</v>
      </c>
      <c r="G12" s="23" t="str">
        <f t="shared" si="0"/>
        <v>{_id:11, fn:'F1', args:'117', format:3, units:'тис.м3', name:'Більче-Волицьке ПСГ, Q ВОГ 5.5'},</v>
      </c>
    </row>
    <row r="13" spans="1:7" s="12" customFormat="1" x14ac:dyDescent="0.25">
      <c r="A13" s="23">
        <v>12</v>
      </c>
      <c r="B13" s="23" t="s">
        <v>326</v>
      </c>
      <c r="C13" s="24" t="s">
        <v>349</v>
      </c>
      <c r="D13" s="23">
        <v>3</v>
      </c>
      <c r="E13" s="23" t="s">
        <v>340</v>
      </c>
      <c r="F13" s="25" t="s">
        <v>346</v>
      </c>
      <c r="G13" s="23" t="str">
        <f t="shared" si="0"/>
        <v>{_id:12, fn:'F1', args:'118', format:3, units:'тис.м3', name:'Більче-Волицьке ПСГ, Q ВОГ 7.5'},</v>
      </c>
    </row>
    <row r="14" spans="1:7" s="12" customFormat="1" x14ac:dyDescent="0.25">
      <c r="A14" s="23">
        <v>13</v>
      </c>
      <c r="B14" s="23" t="s">
        <v>399</v>
      </c>
      <c r="C14" s="24" t="s">
        <v>810</v>
      </c>
      <c r="D14" s="23">
        <v>3</v>
      </c>
      <c r="E14" s="23" t="s">
        <v>340</v>
      </c>
      <c r="F14" s="25" t="s">
        <v>338</v>
      </c>
      <c r="G14" s="23" t="str">
        <f t="shared" si="0"/>
        <v>{_id:13, fn:'F2', args:'11;12', format:3, units:'тис.м3', name:'Більче-Волицьке ПСГ, Q ВОГ'},</v>
      </c>
    </row>
    <row r="15" spans="1:7" s="12" customFormat="1" x14ac:dyDescent="0.25">
      <c r="A15" s="23">
        <v>14</v>
      </c>
      <c r="B15" s="23" t="s">
        <v>399</v>
      </c>
      <c r="C15" s="24" t="s">
        <v>350</v>
      </c>
      <c r="D15" s="23">
        <v>3</v>
      </c>
      <c r="E15" s="23" t="s">
        <v>340</v>
      </c>
      <c r="F15" s="25" t="s">
        <v>339</v>
      </c>
      <c r="G15" s="23" t="str">
        <f t="shared" si="0"/>
        <v>{_id:14, fn:'F2', args:'1;2;3;4;5;6;7;8;9;10;11;12', format:3, units:'тис.м3', name:'ПАТ УТГ, Q ВОГ'},</v>
      </c>
    </row>
    <row r="16" spans="1:7" s="38" customFormat="1" x14ac:dyDescent="0.25">
      <c r="A16" s="35">
        <v>15</v>
      </c>
      <c r="B16" s="35" t="s">
        <v>400</v>
      </c>
      <c r="C16" s="36" t="s">
        <v>351</v>
      </c>
      <c r="D16" s="35">
        <v>3</v>
      </c>
      <c r="E16" s="35" t="s">
        <v>340</v>
      </c>
      <c r="F16" s="37" t="s">
        <v>364</v>
      </c>
      <c r="G16" s="35" t="str">
        <f t="shared" si="0"/>
        <v>{_id:15, fn:'F3', args:'1;184;1', format:3, units:'тис.м3', name:'Богородчанське ПСГ, отбор'},</v>
      </c>
    </row>
    <row r="17" spans="1:7" s="38" customFormat="1" x14ac:dyDescent="0.25">
      <c r="A17" s="35">
        <v>16</v>
      </c>
      <c r="B17" s="35" t="s">
        <v>400</v>
      </c>
      <c r="C17" s="36" t="s">
        <v>352</v>
      </c>
      <c r="D17" s="35">
        <v>3</v>
      </c>
      <c r="E17" s="35" t="s">
        <v>340</v>
      </c>
      <c r="F17" s="37" t="s">
        <v>365</v>
      </c>
      <c r="G17" s="35" t="str">
        <f t="shared" si="0"/>
        <v>{_id:16, fn:'F3', args:'2;186;1', format:3, units:'тис.м3', name:'Дашавське ПСГ, отбор'},</v>
      </c>
    </row>
    <row r="18" spans="1:7" s="38" customFormat="1" x14ac:dyDescent="0.25">
      <c r="A18" s="35">
        <v>17</v>
      </c>
      <c r="B18" s="35" t="s">
        <v>400</v>
      </c>
      <c r="C18" s="36" t="s">
        <v>354</v>
      </c>
      <c r="D18" s="35">
        <v>3</v>
      </c>
      <c r="E18" s="35" t="s">
        <v>340</v>
      </c>
      <c r="F18" s="37" t="s">
        <v>366</v>
      </c>
      <c r="G18" s="35" t="str">
        <f t="shared" si="0"/>
        <v>{_id:17, fn:'F3', args:'3;181;1', format:3, units:'тис.м3', name:'Мринське ПСГ, отбор'},</v>
      </c>
    </row>
    <row r="19" spans="1:7" s="38" customFormat="1" x14ac:dyDescent="0.25">
      <c r="A19" s="35">
        <v>18</v>
      </c>
      <c r="B19" s="35" t="s">
        <v>400</v>
      </c>
      <c r="C19" s="36" t="s">
        <v>355</v>
      </c>
      <c r="D19" s="35">
        <v>3</v>
      </c>
      <c r="E19" s="35" t="s">
        <v>340</v>
      </c>
      <c r="F19" s="37" t="s">
        <v>367</v>
      </c>
      <c r="G19" s="35" t="str">
        <f t="shared" si="0"/>
        <v>{_id:18, fn:'F3', args:'4;183;1', format:3, units:'тис.м3', name:'Олишівське ПСГ, отбор'},</v>
      </c>
    </row>
    <row r="20" spans="1:7" s="38" customFormat="1" x14ac:dyDescent="0.25">
      <c r="A20" s="35">
        <v>19</v>
      </c>
      <c r="B20" s="35" t="s">
        <v>400</v>
      </c>
      <c r="C20" s="36" t="s">
        <v>356</v>
      </c>
      <c r="D20" s="35">
        <v>3</v>
      </c>
      <c r="E20" s="35" t="s">
        <v>340</v>
      </c>
      <c r="F20" s="37" t="s">
        <v>368</v>
      </c>
      <c r="G20" s="35" t="str">
        <f t="shared" si="0"/>
        <v>{_id:19, fn:'F3', args:'5;182;1', format:3, units:'тис.м3', name:'Солохівське ПСГ, отбор'},</v>
      </c>
    </row>
    <row r="21" spans="1:7" s="38" customFormat="1" x14ac:dyDescent="0.25">
      <c r="A21" s="35">
        <v>20</v>
      </c>
      <c r="B21" s="35" t="s">
        <v>400</v>
      </c>
      <c r="C21" s="36" t="s">
        <v>357</v>
      </c>
      <c r="D21" s="35">
        <v>3</v>
      </c>
      <c r="E21" s="35" t="s">
        <v>340</v>
      </c>
      <c r="F21" s="37" t="s">
        <v>369</v>
      </c>
      <c r="G21" s="35" t="str">
        <f t="shared" si="0"/>
        <v>{_id:20, fn:'F3', args:'6;185;1', format:3, units:'тис.м3', name:'Опарське ПСГ, отбор'},</v>
      </c>
    </row>
    <row r="22" spans="1:7" s="38" customFormat="1" x14ac:dyDescent="0.25">
      <c r="A22" s="35">
        <v>21</v>
      </c>
      <c r="B22" s="35" t="s">
        <v>400</v>
      </c>
      <c r="C22" s="36" t="s">
        <v>358</v>
      </c>
      <c r="D22" s="35">
        <v>3</v>
      </c>
      <c r="E22" s="35" t="s">
        <v>340</v>
      </c>
      <c r="F22" s="37" t="s">
        <v>370</v>
      </c>
      <c r="G22" s="35" t="str">
        <f t="shared" si="0"/>
        <v>{_id:21, fn:'F3', args:'7;191;1', format:3, units:'тис.м3', name:'Краснопопівське ПСГ, отбор'},</v>
      </c>
    </row>
    <row r="23" spans="1:7" s="38" customFormat="1" x14ac:dyDescent="0.25">
      <c r="A23" s="35">
        <v>22</v>
      </c>
      <c r="B23" s="35" t="s">
        <v>400</v>
      </c>
      <c r="C23" s="36" t="s">
        <v>359</v>
      </c>
      <c r="D23" s="35">
        <v>3</v>
      </c>
      <c r="E23" s="35" t="s">
        <v>340</v>
      </c>
      <c r="F23" s="37" t="s">
        <v>371</v>
      </c>
      <c r="G23" s="35" t="str">
        <f t="shared" si="0"/>
        <v>{_id:22, fn:'F3', args:'8;189;1', format:3, units:'тис.м3', name:'Пролетарське ПСГ, отбор'},</v>
      </c>
    </row>
    <row r="24" spans="1:7" s="38" customFormat="1" x14ac:dyDescent="0.25">
      <c r="A24" s="35">
        <v>23</v>
      </c>
      <c r="B24" s="35" t="s">
        <v>400</v>
      </c>
      <c r="C24" s="36" t="s">
        <v>360</v>
      </c>
      <c r="D24" s="35">
        <v>3</v>
      </c>
      <c r="E24" s="35" t="s">
        <v>340</v>
      </c>
      <c r="F24" s="37" t="s">
        <v>372</v>
      </c>
      <c r="G24" s="35" t="str">
        <f t="shared" si="0"/>
        <v>{_id:23, fn:'F3', args:'9;187;1', format:3, units:'тис.м3', name:'Угерське ПСГ, отбор'},</v>
      </c>
    </row>
    <row r="25" spans="1:7" s="38" customFormat="1" x14ac:dyDescent="0.25">
      <c r="A25" s="35">
        <v>24</v>
      </c>
      <c r="B25" s="35" t="s">
        <v>400</v>
      </c>
      <c r="C25" s="36" t="s">
        <v>361</v>
      </c>
      <c r="D25" s="35">
        <v>3</v>
      </c>
      <c r="E25" s="35" t="s">
        <v>340</v>
      </c>
      <c r="F25" s="37" t="s">
        <v>373</v>
      </c>
      <c r="G25" s="35" t="str">
        <f t="shared" si="0"/>
        <v>{_id:24, fn:'F3', args:'10;190;1', format:3, units:'тис.м3', name:'Кегичівське ПСГ, отбор'},</v>
      </c>
    </row>
    <row r="26" spans="1:7" s="38" customFormat="1" x14ac:dyDescent="0.25">
      <c r="A26" s="35">
        <v>25</v>
      </c>
      <c r="B26" s="35" t="s">
        <v>400</v>
      </c>
      <c r="C26" s="36" t="s">
        <v>362</v>
      </c>
      <c r="D26" s="35">
        <v>3</v>
      </c>
      <c r="E26" s="35" t="s">
        <v>340</v>
      </c>
      <c r="F26" s="37" t="s">
        <v>374</v>
      </c>
      <c r="G26" s="35" t="str">
        <f t="shared" si="0"/>
        <v>{_id:25, fn:'F3', args:'13;188;1', format:3, units:'тис.м3', name:'Більче-Волицьке ПСГ, отбор'},</v>
      </c>
    </row>
    <row r="27" spans="1:7" s="12" customFormat="1" x14ac:dyDescent="0.25">
      <c r="A27" s="23">
        <v>26</v>
      </c>
      <c r="B27" s="23" t="s">
        <v>399</v>
      </c>
      <c r="C27" s="24" t="s">
        <v>363</v>
      </c>
      <c r="D27" s="23">
        <v>3</v>
      </c>
      <c r="E27" s="23" t="s">
        <v>340</v>
      </c>
      <c r="F27" s="25" t="s">
        <v>375</v>
      </c>
      <c r="G27" s="23" t="str">
        <f t="shared" si="0"/>
        <v>{_id:26, fn:'F2', args:'15;16;17;18;19;20;21;22;23;24;25', format:3, units:'тис.м3', name:'ПАТ УТГ, отбор'},</v>
      </c>
    </row>
    <row r="28" spans="1:7" s="38" customFormat="1" x14ac:dyDescent="0.25">
      <c r="A28" s="35">
        <v>27</v>
      </c>
      <c r="B28" s="35" t="s">
        <v>400</v>
      </c>
      <c r="C28" s="36" t="s">
        <v>376</v>
      </c>
      <c r="D28" s="35">
        <v>3</v>
      </c>
      <c r="E28" s="35" t="s">
        <v>340</v>
      </c>
      <c r="F28" s="37" t="s">
        <v>387</v>
      </c>
      <c r="G28" s="35" t="str">
        <f t="shared" si="0"/>
        <v>{_id:27, fn:'F3', args:'1;184;2', format:3, units:'тис.м3', name:'Богородчанське ПСГ, закачка'},</v>
      </c>
    </row>
    <row r="29" spans="1:7" s="38" customFormat="1" x14ac:dyDescent="0.25">
      <c r="A29" s="35">
        <v>28</v>
      </c>
      <c r="B29" s="35" t="s">
        <v>400</v>
      </c>
      <c r="C29" s="36" t="s">
        <v>353</v>
      </c>
      <c r="D29" s="35">
        <v>3</v>
      </c>
      <c r="E29" s="35" t="s">
        <v>340</v>
      </c>
      <c r="F29" s="37" t="s">
        <v>388</v>
      </c>
      <c r="G29" s="35" t="str">
        <f t="shared" si="0"/>
        <v>{_id:28, fn:'F3', args:'2;186;2', format:3, units:'тис.м3', name:'Дашавське ПСГ, закачка'},</v>
      </c>
    </row>
    <row r="30" spans="1:7" s="38" customFormat="1" x14ac:dyDescent="0.25">
      <c r="A30" s="35">
        <v>29</v>
      </c>
      <c r="B30" s="35" t="s">
        <v>400</v>
      </c>
      <c r="C30" s="36" t="s">
        <v>377</v>
      </c>
      <c r="D30" s="35">
        <v>3</v>
      </c>
      <c r="E30" s="35" t="s">
        <v>340</v>
      </c>
      <c r="F30" s="37" t="s">
        <v>389</v>
      </c>
      <c r="G30" s="35" t="str">
        <f t="shared" si="0"/>
        <v>{_id:29, fn:'F3', args:'3;181;2', format:3, units:'тис.м3', name:'Мринське ПСГ, закачка'},</v>
      </c>
    </row>
    <row r="31" spans="1:7" s="38" customFormat="1" x14ac:dyDescent="0.25">
      <c r="A31" s="35">
        <v>30</v>
      </c>
      <c r="B31" s="35" t="s">
        <v>400</v>
      </c>
      <c r="C31" s="36" t="s">
        <v>378</v>
      </c>
      <c r="D31" s="35">
        <v>3</v>
      </c>
      <c r="E31" s="35" t="s">
        <v>340</v>
      </c>
      <c r="F31" s="37" t="s">
        <v>390</v>
      </c>
      <c r="G31" s="35" t="str">
        <f t="shared" si="0"/>
        <v>{_id:30, fn:'F3', args:'4;183;2', format:3, units:'тис.м3', name:'Олишівське ПСГ, закачка'},</v>
      </c>
    </row>
    <row r="32" spans="1:7" s="38" customFormat="1" x14ac:dyDescent="0.25">
      <c r="A32" s="35">
        <v>31</v>
      </c>
      <c r="B32" s="35" t="s">
        <v>400</v>
      </c>
      <c r="C32" s="36" t="s">
        <v>379</v>
      </c>
      <c r="D32" s="35">
        <v>3</v>
      </c>
      <c r="E32" s="35" t="s">
        <v>340</v>
      </c>
      <c r="F32" s="37" t="s">
        <v>391</v>
      </c>
      <c r="G32" s="35" t="str">
        <f t="shared" si="0"/>
        <v>{_id:31, fn:'F3', args:'5;182;2', format:3, units:'тис.м3', name:'Солохівське ПСГ, закачка'},</v>
      </c>
    </row>
    <row r="33" spans="1:7" s="38" customFormat="1" x14ac:dyDescent="0.25">
      <c r="A33" s="35">
        <v>32</v>
      </c>
      <c r="B33" s="35" t="s">
        <v>400</v>
      </c>
      <c r="C33" s="36" t="s">
        <v>380</v>
      </c>
      <c r="D33" s="35">
        <v>3</v>
      </c>
      <c r="E33" s="35" t="s">
        <v>340</v>
      </c>
      <c r="F33" s="37" t="s">
        <v>392</v>
      </c>
      <c r="G33" s="35" t="str">
        <f t="shared" si="0"/>
        <v>{_id:32, fn:'F3', args:'6;185;2', format:3, units:'тис.м3', name:'Опарське ПСГ, закачка'},</v>
      </c>
    </row>
    <row r="34" spans="1:7" s="38" customFormat="1" x14ac:dyDescent="0.25">
      <c r="A34" s="35">
        <v>33</v>
      </c>
      <c r="B34" s="35" t="s">
        <v>400</v>
      </c>
      <c r="C34" s="36" t="s">
        <v>381</v>
      </c>
      <c r="D34" s="35">
        <v>3</v>
      </c>
      <c r="E34" s="35" t="s">
        <v>340</v>
      </c>
      <c r="F34" s="37" t="s">
        <v>393</v>
      </c>
      <c r="G34" s="35" t="str">
        <f t="shared" si="0"/>
        <v>{_id:33, fn:'F3', args:'7;191;2', format:3, units:'тис.м3', name:'Краснопопівське ПСГ, закачка'},</v>
      </c>
    </row>
    <row r="35" spans="1:7" s="38" customFormat="1" x14ac:dyDescent="0.25">
      <c r="A35" s="35">
        <v>34</v>
      </c>
      <c r="B35" s="35" t="s">
        <v>400</v>
      </c>
      <c r="C35" s="36" t="s">
        <v>382</v>
      </c>
      <c r="D35" s="35">
        <v>3</v>
      </c>
      <c r="E35" s="35" t="s">
        <v>340</v>
      </c>
      <c r="F35" s="37" t="s">
        <v>394</v>
      </c>
      <c r="G35" s="35" t="str">
        <f t="shared" si="0"/>
        <v>{_id:34, fn:'F3', args:'8;189;2', format:3, units:'тис.м3', name:'Пролетарське ПСГ, закачка'},</v>
      </c>
    </row>
    <row r="36" spans="1:7" s="38" customFormat="1" x14ac:dyDescent="0.25">
      <c r="A36" s="35">
        <v>35</v>
      </c>
      <c r="B36" s="35" t="s">
        <v>400</v>
      </c>
      <c r="C36" s="36" t="s">
        <v>383</v>
      </c>
      <c r="D36" s="35">
        <v>3</v>
      </c>
      <c r="E36" s="35" t="s">
        <v>340</v>
      </c>
      <c r="F36" s="37" t="s">
        <v>395</v>
      </c>
      <c r="G36" s="35" t="str">
        <f t="shared" si="0"/>
        <v>{_id:35, fn:'F3', args:'9;187;2', format:3, units:'тис.м3', name:'Угерське ПСГ, закачка'},</v>
      </c>
    </row>
    <row r="37" spans="1:7" s="38" customFormat="1" x14ac:dyDescent="0.25">
      <c r="A37" s="35">
        <v>36</v>
      </c>
      <c r="B37" s="35" t="s">
        <v>400</v>
      </c>
      <c r="C37" s="36" t="s">
        <v>384</v>
      </c>
      <c r="D37" s="35">
        <v>3</v>
      </c>
      <c r="E37" s="35" t="s">
        <v>340</v>
      </c>
      <c r="F37" s="37" t="s">
        <v>396</v>
      </c>
      <c r="G37" s="35" t="str">
        <f t="shared" si="0"/>
        <v>{_id:36, fn:'F3', args:'10;190;2', format:3, units:'тис.м3', name:'Кегичівське ПСГ, закачка'},</v>
      </c>
    </row>
    <row r="38" spans="1:7" s="38" customFormat="1" x14ac:dyDescent="0.25">
      <c r="A38" s="35">
        <v>37</v>
      </c>
      <c r="B38" s="35" t="s">
        <v>400</v>
      </c>
      <c r="C38" s="36" t="s">
        <v>385</v>
      </c>
      <c r="D38" s="35">
        <v>3</v>
      </c>
      <c r="E38" s="35" t="s">
        <v>340</v>
      </c>
      <c r="F38" s="37" t="s">
        <v>397</v>
      </c>
      <c r="G38" s="35" t="str">
        <f t="shared" si="0"/>
        <v>{_id:37, fn:'F3', args:'13;188;2', format:3, units:'тис.м3', name:'Більче-Волицьке ПСГ, закачка'},</v>
      </c>
    </row>
    <row r="39" spans="1:7" s="12" customFormat="1" x14ac:dyDescent="0.25">
      <c r="A39" s="23">
        <v>38</v>
      </c>
      <c r="B39" s="23" t="s">
        <v>399</v>
      </c>
      <c r="C39" s="24" t="s">
        <v>386</v>
      </c>
      <c r="D39" s="23">
        <v>3</v>
      </c>
      <c r="E39" s="23" t="s">
        <v>340</v>
      </c>
      <c r="F39" s="25" t="s">
        <v>398</v>
      </c>
      <c r="G39" s="23" t="str">
        <f t="shared" si="0"/>
        <v>{_id:38, fn:'F2', args:'27;28;29;30;31;32;33;34;35;36;37', format:3, units:'тис.м3', name:'ПАТ УТГ, закачка'},</v>
      </c>
    </row>
    <row r="40" spans="1:7" s="12" customFormat="1" x14ac:dyDescent="0.25">
      <c r="A40" s="23">
        <v>39</v>
      </c>
      <c r="B40" s="23" t="s">
        <v>326</v>
      </c>
      <c r="C40" s="24" t="s">
        <v>417</v>
      </c>
      <c r="D40" s="23">
        <v>3</v>
      </c>
      <c r="E40" s="23" t="s">
        <v>340</v>
      </c>
      <c r="F40" s="25" t="s">
        <v>401</v>
      </c>
      <c r="G40" s="23" t="str">
        <f t="shared" si="0"/>
        <v>{_id:39, fn:'F1', args:'119', format:3, units:'тис.м3', name:'Більче-Волицьке ПСГ, ГЗП-1 Q ВОГ'},</v>
      </c>
    </row>
    <row r="41" spans="1:7" s="12" customFormat="1" x14ac:dyDescent="0.25">
      <c r="A41" s="23">
        <v>40</v>
      </c>
      <c r="B41" s="23" t="s">
        <v>326</v>
      </c>
      <c r="C41" s="24" t="s">
        <v>418</v>
      </c>
      <c r="D41" s="23">
        <v>3</v>
      </c>
      <c r="E41" s="23" t="s">
        <v>340</v>
      </c>
      <c r="F41" s="25" t="s">
        <v>402</v>
      </c>
      <c r="G41" s="23" t="str">
        <f t="shared" si="0"/>
        <v>{_id:40, fn:'F1', args:'120', format:3, units:'тис.м3', name:'Більче-Волицьке ПСГ, ГЗП-2 Q ВОГ'},</v>
      </c>
    </row>
    <row r="42" spans="1:7" s="12" customFormat="1" x14ac:dyDescent="0.25">
      <c r="A42" s="23">
        <v>41</v>
      </c>
      <c r="B42" s="23" t="s">
        <v>326</v>
      </c>
      <c r="C42" s="24" t="s">
        <v>419</v>
      </c>
      <c r="D42" s="23">
        <v>3</v>
      </c>
      <c r="E42" s="23" t="s">
        <v>340</v>
      </c>
      <c r="F42" s="25" t="s">
        <v>403</v>
      </c>
      <c r="G42" s="23" t="str">
        <f t="shared" si="0"/>
        <v>{_id:41, fn:'F1', args:'121', format:3, units:'тис.м3', name:'Більче-Волицьке ПСГ, ГЗП-3 Q ВОГ'},</v>
      </c>
    </row>
    <row r="43" spans="1:7" s="12" customFormat="1" x14ac:dyDescent="0.25">
      <c r="A43" s="23">
        <v>42</v>
      </c>
      <c r="B43" s="23" t="s">
        <v>326</v>
      </c>
      <c r="C43" s="24" t="s">
        <v>420</v>
      </c>
      <c r="D43" s="23">
        <v>3</v>
      </c>
      <c r="E43" s="23" t="s">
        <v>340</v>
      </c>
      <c r="F43" s="25" t="s">
        <v>404</v>
      </c>
      <c r="G43" s="23" t="str">
        <f t="shared" si="0"/>
        <v>{_id:42, fn:'F1', args:'122', format:3, units:'тис.м3', name:'Більче-Волицьке ПСГ, ГЗП-4 Q ВОГ'},</v>
      </c>
    </row>
    <row r="44" spans="1:7" s="38" customFormat="1" x14ac:dyDescent="0.25">
      <c r="A44" s="35">
        <v>43</v>
      </c>
      <c r="B44" s="35" t="s">
        <v>400</v>
      </c>
      <c r="C44" s="36" t="s">
        <v>835</v>
      </c>
      <c r="D44" s="35">
        <v>3</v>
      </c>
      <c r="E44" s="35" t="s">
        <v>340</v>
      </c>
      <c r="F44" s="37" t="s">
        <v>405</v>
      </c>
      <c r="G44" s="35" t="str">
        <f t="shared" si="0"/>
        <v>{_id:43, fn:'F3', args:'39;188;2', format:3, units:'тис.м3', name:'Більче-Волицьке ПСГ, ГЗП-1 Q ВОГ закачка'},</v>
      </c>
    </row>
    <row r="45" spans="1:7" s="38" customFormat="1" x14ac:dyDescent="0.25">
      <c r="A45" s="35">
        <v>44</v>
      </c>
      <c r="B45" s="35" t="s">
        <v>400</v>
      </c>
      <c r="C45" s="36" t="s">
        <v>836</v>
      </c>
      <c r="D45" s="35">
        <v>3</v>
      </c>
      <c r="E45" s="35" t="s">
        <v>340</v>
      </c>
      <c r="F45" s="37" t="s">
        <v>406</v>
      </c>
      <c r="G45" s="35" t="str">
        <f t="shared" si="0"/>
        <v>{_id:44, fn:'F3', args:'40;188;2', format:3, units:'тис.м3', name:'Більче-Волицьке ПСГ, ГЗП-2 Q ВОГ закачка'},</v>
      </c>
    </row>
    <row r="46" spans="1:7" s="38" customFormat="1" x14ac:dyDescent="0.25">
      <c r="A46" s="35">
        <v>45</v>
      </c>
      <c r="B46" s="35" t="s">
        <v>400</v>
      </c>
      <c r="C46" s="36" t="s">
        <v>837</v>
      </c>
      <c r="D46" s="35">
        <v>3</v>
      </c>
      <c r="E46" s="35" t="s">
        <v>340</v>
      </c>
      <c r="F46" s="37" t="s">
        <v>407</v>
      </c>
      <c r="G46" s="35" t="str">
        <f t="shared" si="0"/>
        <v>{_id:45, fn:'F3', args:'41;188;2', format:3, units:'тис.м3', name:'Більче-Волицьке ПСГ, ГЗП-3 Q ВОГ закачка'},</v>
      </c>
    </row>
    <row r="47" spans="1:7" s="38" customFormat="1" x14ac:dyDescent="0.25">
      <c r="A47" s="35">
        <v>46</v>
      </c>
      <c r="B47" s="35" t="s">
        <v>400</v>
      </c>
      <c r="C47" s="36" t="s">
        <v>838</v>
      </c>
      <c r="D47" s="35">
        <v>3</v>
      </c>
      <c r="E47" s="35" t="s">
        <v>340</v>
      </c>
      <c r="F47" s="37" t="s">
        <v>408</v>
      </c>
      <c r="G47" s="35" t="str">
        <f t="shared" si="0"/>
        <v>{_id:46, fn:'F3', args:'42;188;2', format:3, units:'тис.м3', name:'Більче-Волицьке ПСГ, ГЗП-4 Q ВОГ закачка'},</v>
      </c>
    </row>
    <row r="48" spans="1:7" s="38" customFormat="1" x14ac:dyDescent="0.25">
      <c r="A48" s="35">
        <v>47</v>
      </c>
      <c r="B48" s="35" t="s">
        <v>400</v>
      </c>
      <c r="C48" s="36" t="s">
        <v>839</v>
      </c>
      <c r="D48" s="35">
        <v>3</v>
      </c>
      <c r="E48" s="35" t="s">
        <v>340</v>
      </c>
      <c r="F48" s="37" t="s">
        <v>409</v>
      </c>
      <c r="G48" s="35" t="str">
        <f t="shared" si="0"/>
        <v>{_id:47, fn:'F3', args:'39;188;1', format:3, units:'тис.м3', name:'Більче-Волицьке ПСГ, ГЗП-1 Q ВОГ отбор'},</v>
      </c>
    </row>
    <row r="49" spans="1:7" s="38" customFormat="1" x14ac:dyDescent="0.25">
      <c r="A49" s="35">
        <v>48</v>
      </c>
      <c r="B49" s="35" t="s">
        <v>400</v>
      </c>
      <c r="C49" s="36" t="s">
        <v>840</v>
      </c>
      <c r="D49" s="35">
        <v>3</v>
      </c>
      <c r="E49" s="35" t="s">
        <v>340</v>
      </c>
      <c r="F49" s="37" t="s">
        <v>410</v>
      </c>
      <c r="G49" s="35" t="str">
        <f t="shared" si="0"/>
        <v>{_id:48, fn:'F3', args:'40;188;1', format:3, units:'тис.м3', name:'Більче-Волицьке ПСГ, ГЗП-2 Q ВОГ отбор'},</v>
      </c>
    </row>
    <row r="50" spans="1:7" s="38" customFormat="1" x14ac:dyDescent="0.25">
      <c r="A50" s="35">
        <v>49</v>
      </c>
      <c r="B50" s="35" t="s">
        <v>400</v>
      </c>
      <c r="C50" s="36" t="s">
        <v>841</v>
      </c>
      <c r="D50" s="35">
        <v>3</v>
      </c>
      <c r="E50" s="35" t="s">
        <v>340</v>
      </c>
      <c r="F50" s="37" t="s">
        <v>411</v>
      </c>
      <c r="G50" s="35" t="str">
        <f t="shared" si="0"/>
        <v>{_id:49, fn:'F3', args:'41;188;1', format:3, units:'тис.м3', name:'Більче-Волицьке ПСГ, ГЗП-3 Q ВОГ отбор'},</v>
      </c>
    </row>
    <row r="51" spans="1:7" s="38" customFormat="1" x14ac:dyDescent="0.25">
      <c r="A51" s="35">
        <v>50</v>
      </c>
      <c r="B51" s="35" t="s">
        <v>400</v>
      </c>
      <c r="C51" s="36" t="s">
        <v>842</v>
      </c>
      <c r="D51" s="35">
        <v>3</v>
      </c>
      <c r="E51" s="35" t="s">
        <v>340</v>
      </c>
      <c r="F51" s="37" t="s">
        <v>412</v>
      </c>
      <c r="G51" s="35" t="str">
        <f t="shared" si="0"/>
        <v>{_id:50, fn:'F3', args:'42;188;1', format:3, units:'тис.м3', name:'Більче-Волицьке ПСГ, ГЗП-4 Q ВОГ отбор'},</v>
      </c>
    </row>
    <row r="52" spans="1:7" s="12" customFormat="1" x14ac:dyDescent="0.25">
      <c r="A52" s="23">
        <v>51</v>
      </c>
      <c r="B52" s="23" t="s">
        <v>326</v>
      </c>
      <c r="C52" s="24" t="s">
        <v>421</v>
      </c>
      <c r="D52" s="23">
        <v>3</v>
      </c>
      <c r="E52" s="23" t="s">
        <v>340</v>
      </c>
      <c r="F52" s="25" t="s">
        <v>413</v>
      </c>
      <c r="G52" s="23" t="str">
        <f t="shared" si="0"/>
        <v>{_id:51, fn:'F1', args:'174', format:3, units:'тис.м3', name:'Більче-Волицьке ПСГ, Pвих ГЗП-1'},</v>
      </c>
    </row>
    <row r="53" spans="1:7" s="12" customFormat="1" x14ac:dyDescent="0.25">
      <c r="A53" s="23">
        <v>52</v>
      </c>
      <c r="B53" s="23" t="s">
        <v>326</v>
      </c>
      <c r="C53" s="24" t="s">
        <v>422</v>
      </c>
      <c r="D53" s="23">
        <v>3</v>
      </c>
      <c r="E53" s="23" t="s">
        <v>340</v>
      </c>
      <c r="F53" s="25" t="s">
        <v>414</v>
      </c>
      <c r="G53" s="23" t="str">
        <f t="shared" si="0"/>
        <v>{_id:52, fn:'F1', args:'175', format:3, units:'тис.м3', name:'Більче-Волицьке ПСГ, Pвих ГЗП-2'},</v>
      </c>
    </row>
    <row r="54" spans="1:7" s="12" customFormat="1" x14ac:dyDescent="0.25">
      <c r="A54" s="23">
        <v>53</v>
      </c>
      <c r="B54" s="23" t="s">
        <v>326</v>
      </c>
      <c r="C54" s="24" t="s">
        <v>423</v>
      </c>
      <c r="D54" s="23">
        <v>3</v>
      </c>
      <c r="E54" s="23" t="s">
        <v>340</v>
      </c>
      <c r="F54" s="25" t="s">
        <v>415</v>
      </c>
      <c r="G54" s="23" t="str">
        <f t="shared" si="0"/>
        <v>{_id:53, fn:'F1', args:'176', format:3, units:'тис.м3', name:'Більче-Волицьке ПСГ, Pвих ГЗП-3'},</v>
      </c>
    </row>
    <row r="55" spans="1:7" s="12" customFormat="1" x14ac:dyDescent="0.25">
      <c r="A55" s="23">
        <v>54</v>
      </c>
      <c r="B55" s="23" t="s">
        <v>326</v>
      </c>
      <c r="C55" s="24" t="s">
        <v>424</v>
      </c>
      <c r="D55" s="23">
        <v>3</v>
      </c>
      <c r="E55" s="23" t="s">
        <v>340</v>
      </c>
      <c r="F55" s="25" t="s">
        <v>416</v>
      </c>
      <c r="G55" s="23" t="str">
        <f t="shared" si="0"/>
        <v>{_id:54, fn:'F1', args:'177', format:3, units:'тис.м3', name:'Більче-Волицьке ПСГ, Pвих ГЗП-4'},</v>
      </c>
    </row>
    <row r="56" spans="1:7" s="12" customFormat="1" x14ac:dyDescent="0.25">
      <c r="A56" s="23">
        <v>55</v>
      </c>
      <c r="B56" s="23" t="s">
        <v>326</v>
      </c>
      <c r="C56" s="24">
        <v>135</v>
      </c>
      <c r="D56" s="23">
        <v>1</v>
      </c>
      <c r="E56" s="26" t="s">
        <v>425</v>
      </c>
      <c r="F56" s="27" t="s">
        <v>427</v>
      </c>
      <c r="G56" s="23" t="str">
        <f t="shared" si="0"/>
        <v>{_id:55, fn:'F1', args:'135', format:1, units:'кгс/см2', name:'Мринське ВУПЗГ.ПСГ Мринське.КС-5 Бобровницька.Рвих КС'},</v>
      </c>
    </row>
    <row r="57" spans="1:7" s="12" customFormat="1" x14ac:dyDescent="0.25">
      <c r="A57" s="23">
        <v>56</v>
      </c>
      <c r="B57" s="23" t="s">
        <v>326</v>
      </c>
      <c r="C57" s="24">
        <v>136</v>
      </c>
      <c r="D57" s="23">
        <v>1</v>
      </c>
      <c r="E57" s="26" t="s">
        <v>425</v>
      </c>
      <c r="F57" s="27" t="s">
        <v>428</v>
      </c>
      <c r="G57" s="23" t="str">
        <f t="shared" si="0"/>
        <v>{_id:56, fn:'F1', args:'136', format:1, units:'кгс/см2', name:'Мринське ВУПЗГ.ПСГ Мринське.ДКС Мрин.Рвих КС'},</v>
      </c>
    </row>
    <row r="58" spans="1:7" s="12" customFormat="1" x14ac:dyDescent="0.25">
      <c r="A58" s="23">
        <v>57</v>
      </c>
      <c r="B58" s="23" t="s">
        <v>326</v>
      </c>
      <c r="C58" s="24" t="s">
        <v>514</v>
      </c>
      <c r="D58" s="23">
        <v>1</v>
      </c>
      <c r="E58" s="26" t="s">
        <v>425</v>
      </c>
      <c r="F58" s="27" t="s">
        <v>429</v>
      </c>
      <c r="G58" s="23" t="str">
        <f t="shared" si="0"/>
        <v>{_id:57, fn:'F1', args:'137', format:1, units:'кгс/см2', name:'Мринське ВУПЗГ.ПСГ Солоха.ДКС Солоха.Рвих КС'},</v>
      </c>
    </row>
    <row r="59" spans="1:7" s="12" customFormat="1" x14ac:dyDescent="0.25">
      <c r="A59" s="23">
        <v>58</v>
      </c>
      <c r="B59" s="23" t="s">
        <v>326</v>
      </c>
      <c r="C59" s="24" t="s">
        <v>512</v>
      </c>
      <c r="D59" s="23">
        <v>1</v>
      </c>
      <c r="E59" s="26" t="s">
        <v>425</v>
      </c>
      <c r="F59" s="27" t="s">
        <v>430</v>
      </c>
      <c r="G59" s="23" t="str">
        <f t="shared" si="0"/>
        <v>{_id:58, fn:'F1', args:'138', format:1, units:'кгс/см2', name:'Мринське ВУПЗГ.ПСГ Олишівка.ДКС Олишівка.Рвих КС'},</v>
      </c>
    </row>
    <row r="60" spans="1:7" s="12" customFormat="1" x14ac:dyDescent="0.25">
      <c r="A60" s="23">
        <v>59</v>
      </c>
      <c r="B60" s="23" t="s">
        <v>326</v>
      </c>
      <c r="C60" s="24">
        <v>139</v>
      </c>
      <c r="D60" s="23">
        <v>1</v>
      </c>
      <c r="E60" s="26" t="s">
        <v>425</v>
      </c>
      <c r="F60" s="27" t="s">
        <v>431</v>
      </c>
      <c r="G60" s="23" t="str">
        <f t="shared" si="0"/>
        <v>{_id:59, fn:'F1', args:'139', format:1, units:'кгс/см2', name:'Богородчанське ВУПЗГ.ПСГ Богородчани.ДКС Богородчани.Рвих КС'},</v>
      </c>
    </row>
    <row r="61" spans="1:7" s="12" customFormat="1" x14ac:dyDescent="0.25">
      <c r="A61" s="23">
        <v>60</v>
      </c>
      <c r="B61" s="23" t="s">
        <v>326</v>
      </c>
      <c r="C61" s="24">
        <v>140</v>
      </c>
      <c r="D61" s="23">
        <v>1</v>
      </c>
      <c r="E61" s="26" t="s">
        <v>425</v>
      </c>
      <c r="F61" s="27" t="s">
        <v>432</v>
      </c>
      <c r="G61" s="23" t="str">
        <f t="shared" si="0"/>
        <v>{_id:60, fn:'F1', args:'140', format:1, units:'кгс/см2', name:'Опарське ВУПЗГ.ПСГ Опарське.ДКС-1 Опари.Рвих КС'},</v>
      </c>
    </row>
    <row r="62" spans="1:7" s="12" customFormat="1" x14ac:dyDescent="0.25">
      <c r="A62" s="23">
        <v>61</v>
      </c>
      <c r="B62" s="23" t="s">
        <v>326</v>
      </c>
      <c r="C62" s="24">
        <v>141</v>
      </c>
      <c r="D62" s="23">
        <v>1</v>
      </c>
      <c r="E62" s="26" t="s">
        <v>425</v>
      </c>
      <c r="F62" s="27" t="s">
        <v>433</v>
      </c>
      <c r="G62" s="23" t="str">
        <f t="shared" si="0"/>
        <v>{_id:61, fn:'F1', args:'141', format:1, units:'кгс/см2', name:'Дашавське ВУПЗГ.ПСГ Дашавське.ДКС Дашава.Рвих КС'},</v>
      </c>
    </row>
    <row r="63" spans="1:7" s="12" customFormat="1" x14ac:dyDescent="0.25">
      <c r="A63" s="23">
        <v>62</v>
      </c>
      <c r="B63" s="23" t="s">
        <v>326</v>
      </c>
      <c r="C63" s="24">
        <v>142</v>
      </c>
      <c r="D63" s="23">
        <v>1</v>
      </c>
      <c r="E63" s="26" t="s">
        <v>425</v>
      </c>
      <c r="F63" s="27" t="s">
        <v>434</v>
      </c>
      <c r="G63" s="23" t="str">
        <f t="shared" si="0"/>
        <v>{_id:62, fn:'F1', args:'142', format:1, units:'кгс/см2', name:'Стрийське ВУПЗГ.ПСГ Угерське.ДКС Угерське.Рвих КС'},</v>
      </c>
    </row>
    <row r="64" spans="1:7" s="12" customFormat="1" x14ac:dyDescent="0.25">
      <c r="A64" s="23">
        <v>63</v>
      </c>
      <c r="B64" s="23" t="s">
        <v>326</v>
      </c>
      <c r="C64" s="24">
        <v>143</v>
      </c>
      <c r="D64" s="23">
        <v>1</v>
      </c>
      <c r="E64" s="26" t="s">
        <v>425</v>
      </c>
      <c r="F64" s="27" t="s">
        <v>435</v>
      </c>
      <c r="G64" s="23" t="str">
        <f t="shared" si="0"/>
        <v>{_id:63, fn:'F1', args:'143', format:1, units:'кгс/см2', name:'Стрийське ВУПЗГ.ПСГ Більче-Волиця.КЦ-1 Більче-Волиця.Рвих КС'},</v>
      </c>
    </row>
    <row r="65" spans="1:7" s="12" customFormat="1" x14ac:dyDescent="0.25">
      <c r="A65" s="23">
        <v>64</v>
      </c>
      <c r="B65" s="23" t="s">
        <v>326</v>
      </c>
      <c r="C65" s="24">
        <v>144</v>
      </c>
      <c r="D65" s="23">
        <v>1</v>
      </c>
      <c r="E65" s="26" t="s">
        <v>425</v>
      </c>
      <c r="F65" s="27" t="s">
        <v>436</v>
      </c>
      <c r="G65" s="23" t="str">
        <f t="shared" si="0"/>
        <v>{_id:64, fn:'F1', args:'144', format:1, units:'кгс/см2', name:'Стрийське ВУПЗГ.ПСГ Більче-Волиця.КЦ-1А Більче-Волиця.Рвих КС'},</v>
      </c>
    </row>
    <row r="66" spans="1:7" s="12" customFormat="1" x14ac:dyDescent="0.25">
      <c r="A66" s="23">
        <v>65</v>
      </c>
      <c r="B66" s="23" t="s">
        <v>326</v>
      </c>
      <c r="C66" s="24">
        <v>145</v>
      </c>
      <c r="D66" s="23">
        <v>1</v>
      </c>
      <c r="E66" s="26" t="s">
        <v>425</v>
      </c>
      <c r="F66" s="27" t="s">
        <v>437</v>
      </c>
      <c r="G66" s="23" t="str">
        <f t="shared" si="0"/>
        <v>{_id:65, fn:'F1', args:'145', format:1, units:'кгс/см2', name:'Стрийське ВУПЗГ.ПСГ Більче-Волиця.КЦ-2 Більче-Волиця.Рвих КС'},</v>
      </c>
    </row>
    <row r="67" spans="1:7" s="12" customFormat="1" x14ac:dyDescent="0.25">
      <c r="A67" s="23">
        <v>66</v>
      </c>
      <c r="B67" s="23" t="s">
        <v>326</v>
      </c>
      <c r="C67" s="24">
        <v>146</v>
      </c>
      <c r="D67" s="23">
        <v>1</v>
      </c>
      <c r="E67" s="26" t="s">
        <v>425</v>
      </c>
      <c r="F67" s="27" t="s">
        <v>438</v>
      </c>
      <c r="G67" s="23" t="str">
        <f t="shared" ref="G67:G130" si="1">CONCATENATE("{_id:",A67,", fn:'",B67,"', args:'",C67,"', format:",D67,", units:'",E67,"', name:'",F67,"'},")</f>
        <v>{_id:66, fn:'F1', args:'146', format:1, units:'кгс/см2', name:'Стрийське ВУПЗГ.ПСГ Більче-Волиця.КЦ-3 Більче-Волиця.Рвих КС'},</v>
      </c>
    </row>
    <row r="68" spans="1:7" s="12" customFormat="1" x14ac:dyDescent="0.25">
      <c r="A68" s="23">
        <v>67</v>
      </c>
      <c r="B68" s="23" t="s">
        <v>326</v>
      </c>
      <c r="C68" s="24">
        <v>147</v>
      </c>
      <c r="D68" s="23">
        <v>1</v>
      </c>
      <c r="E68" s="26" t="s">
        <v>425</v>
      </c>
      <c r="F68" s="27" t="s">
        <v>439</v>
      </c>
      <c r="G68" s="23" t="str">
        <f t="shared" si="1"/>
        <v>{_id:67, fn:'F1', args:'147', format:1, units:'кгс/см2', name:'Стрийське ВУПЗГ.ПСГ Більче-Волиця.КЦ-4 Більче-Волиця.Рвих КС'},</v>
      </c>
    </row>
    <row r="69" spans="1:7" s="12" customFormat="1" x14ac:dyDescent="0.25">
      <c r="A69" s="23">
        <v>68</v>
      </c>
      <c r="B69" s="23" t="s">
        <v>326</v>
      </c>
      <c r="C69" s="24">
        <v>148</v>
      </c>
      <c r="D69" s="23">
        <v>1</v>
      </c>
      <c r="E69" s="26" t="s">
        <v>425</v>
      </c>
      <c r="F69" s="27" t="s">
        <v>440</v>
      </c>
      <c r="G69" s="23" t="str">
        <f t="shared" si="1"/>
        <v>{_id:68, fn:'F1', args:'148', format:1, units:'кгс/см2', name:'Пролетарське ВУПЗГ.ПСГ Пролетарське.ДКС Пролетарка.Рвих КС'},</v>
      </c>
    </row>
    <row r="70" spans="1:7" s="12" customFormat="1" x14ac:dyDescent="0.25">
      <c r="A70" s="23">
        <v>69</v>
      </c>
      <c r="B70" s="23" t="s">
        <v>326</v>
      </c>
      <c r="C70" s="24">
        <v>149</v>
      </c>
      <c r="D70" s="23">
        <v>1</v>
      </c>
      <c r="E70" s="26" t="s">
        <v>425</v>
      </c>
      <c r="F70" s="27" t="s">
        <v>441</v>
      </c>
      <c r="G70" s="23" t="str">
        <f t="shared" si="1"/>
        <v>{_id:69, fn:'F1', args:'149', format:1, units:'кгс/см2', name:'Пролетарське ВУПЗГ.ПСГ Кегичівське.ДКС Кегичівка.Рвих КС'},</v>
      </c>
    </row>
    <row r="71" spans="1:7" s="12" customFormat="1" x14ac:dyDescent="0.25">
      <c r="A71" s="23">
        <v>70</v>
      </c>
      <c r="B71" s="23" t="s">
        <v>326</v>
      </c>
      <c r="C71" s="24">
        <v>150</v>
      </c>
      <c r="D71" s="23">
        <v>1</v>
      </c>
      <c r="E71" s="26" t="s">
        <v>425</v>
      </c>
      <c r="F71" s="27" t="s">
        <v>442</v>
      </c>
      <c r="G71" s="23" t="str">
        <f t="shared" si="1"/>
        <v>{_id:70, fn:'F1', args:'150', format:1, units:'кгс/см2', name:'Пролетарське ВУПЗГ.ПСГ Краснопопівське.ДКС Краснопопіка.Рвих КС'},</v>
      </c>
    </row>
    <row r="72" spans="1:7" s="12" customFormat="1" x14ac:dyDescent="0.25">
      <c r="A72" s="23">
        <v>71</v>
      </c>
      <c r="B72" s="23" t="s">
        <v>326</v>
      </c>
      <c r="C72" s="24">
        <v>151</v>
      </c>
      <c r="D72" s="23">
        <v>1</v>
      </c>
      <c r="E72" s="26" t="s">
        <v>425</v>
      </c>
      <c r="F72" s="27" t="s">
        <v>443</v>
      </c>
      <c r="G72" s="23" t="str">
        <f t="shared" si="1"/>
        <v>{_id:71, fn:'F1', args:'151', format:1, units:'кгс/см2', name:'Мринське ВУПЗГ.ПСГ Мринське.КС-5 Бобровницька.Рвх КС'},</v>
      </c>
    </row>
    <row r="73" spans="1:7" s="12" customFormat="1" x14ac:dyDescent="0.25">
      <c r="A73" s="23">
        <v>72</v>
      </c>
      <c r="B73" s="23" t="s">
        <v>326</v>
      </c>
      <c r="C73" s="24">
        <v>152</v>
      </c>
      <c r="D73" s="23">
        <v>1</v>
      </c>
      <c r="E73" s="26" t="s">
        <v>425</v>
      </c>
      <c r="F73" s="27" t="s">
        <v>444</v>
      </c>
      <c r="G73" s="23" t="str">
        <f t="shared" si="1"/>
        <v>{_id:72, fn:'F1', args:'152', format:1, units:'кгс/см2', name:'Мринське ВУПЗГ.ПСГ Мринське.ДКС Мрин.Рвх КС'},</v>
      </c>
    </row>
    <row r="74" spans="1:7" s="12" customFormat="1" x14ac:dyDescent="0.25">
      <c r="A74" s="23">
        <v>73</v>
      </c>
      <c r="B74" s="23" t="s">
        <v>326</v>
      </c>
      <c r="C74" s="24">
        <v>153</v>
      </c>
      <c r="D74" s="23">
        <v>1</v>
      </c>
      <c r="E74" s="26" t="s">
        <v>425</v>
      </c>
      <c r="F74" s="27" t="s">
        <v>445</v>
      </c>
      <c r="G74" s="23" t="str">
        <f t="shared" si="1"/>
        <v>{_id:73, fn:'F1', args:'153', format:1, units:'кгс/см2', name:'Мринське ВУПЗГ.ПСГ Солоха.ДКС Солоха.Рвх КС'},</v>
      </c>
    </row>
    <row r="75" spans="1:7" s="12" customFormat="1" x14ac:dyDescent="0.25">
      <c r="A75" s="23">
        <v>74</v>
      </c>
      <c r="B75" s="23" t="s">
        <v>326</v>
      </c>
      <c r="C75" s="24">
        <v>154</v>
      </c>
      <c r="D75" s="23">
        <v>1</v>
      </c>
      <c r="E75" s="26" t="s">
        <v>425</v>
      </c>
      <c r="F75" s="27" t="s">
        <v>446</v>
      </c>
      <c r="G75" s="23" t="str">
        <f t="shared" si="1"/>
        <v>{_id:74, fn:'F1', args:'154', format:1, units:'кгс/см2', name:'Мринське ВУПЗГ.ПСГ Олишівка.ДКС Олишівка.Рвх КС'},</v>
      </c>
    </row>
    <row r="76" spans="1:7" s="12" customFormat="1" x14ac:dyDescent="0.25">
      <c r="A76" s="23">
        <v>75</v>
      </c>
      <c r="B76" s="23" t="s">
        <v>326</v>
      </c>
      <c r="C76" s="24">
        <v>155</v>
      </c>
      <c r="D76" s="23">
        <v>1</v>
      </c>
      <c r="E76" s="26" t="s">
        <v>425</v>
      </c>
      <c r="F76" s="27" t="s">
        <v>447</v>
      </c>
      <c r="G76" s="23" t="str">
        <f t="shared" si="1"/>
        <v>{_id:75, fn:'F1', args:'155', format:1, units:'кгс/см2', name:'Богородчанське ВУПЗГ.ПСГ Богородчани.ДКС Богородчани.Рвх КС'},</v>
      </c>
    </row>
    <row r="77" spans="1:7" s="12" customFormat="1" x14ac:dyDescent="0.25">
      <c r="A77" s="23">
        <v>76</v>
      </c>
      <c r="B77" s="23" t="s">
        <v>326</v>
      </c>
      <c r="C77" s="24">
        <v>156</v>
      </c>
      <c r="D77" s="23">
        <v>1</v>
      </c>
      <c r="E77" s="26" t="s">
        <v>425</v>
      </c>
      <c r="F77" s="27" t="s">
        <v>448</v>
      </c>
      <c r="G77" s="23" t="str">
        <f t="shared" si="1"/>
        <v>{_id:76, fn:'F1', args:'156', format:1, units:'кгс/см2', name:'Опарське ВУПЗГ.ПСГ Опарське.ДКС-1 Опари.Рвх КС'},</v>
      </c>
    </row>
    <row r="78" spans="1:7" s="12" customFormat="1" x14ac:dyDescent="0.25">
      <c r="A78" s="23">
        <v>77</v>
      </c>
      <c r="B78" s="23" t="s">
        <v>326</v>
      </c>
      <c r="C78" s="24">
        <v>157</v>
      </c>
      <c r="D78" s="23">
        <v>1</v>
      </c>
      <c r="E78" s="26" t="s">
        <v>425</v>
      </c>
      <c r="F78" s="27" t="s">
        <v>449</v>
      </c>
      <c r="G78" s="23" t="str">
        <f t="shared" si="1"/>
        <v>{_id:77, fn:'F1', args:'157', format:1, units:'кгс/см2', name:'Дашавське ВУПЗГ.ПСГ Дашавське.ДКС Дашава.Рвх КС'},</v>
      </c>
    </row>
    <row r="79" spans="1:7" s="12" customFormat="1" x14ac:dyDescent="0.25">
      <c r="A79" s="23">
        <v>78</v>
      </c>
      <c r="B79" s="23" t="s">
        <v>326</v>
      </c>
      <c r="C79" s="24">
        <v>158</v>
      </c>
      <c r="D79" s="23">
        <v>1</v>
      </c>
      <c r="E79" s="26" t="s">
        <v>425</v>
      </c>
      <c r="F79" s="27" t="s">
        <v>450</v>
      </c>
      <c r="G79" s="23" t="str">
        <f t="shared" si="1"/>
        <v>{_id:78, fn:'F1', args:'158', format:1, units:'кгс/см2', name:'Стрийське ВУПЗГ.ПСГ Угерське.ДКС Угерське.Рвх КС'},</v>
      </c>
    </row>
    <row r="80" spans="1:7" s="12" customFormat="1" x14ac:dyDescent="0.25">
      <c r="A80" s="23">
        <v>79</v>
      </c>
      <c r="B80" s="23" t="s">
        <v>326</v>
      </c>
      <c r="C80" s="24">
        <v>159</v>
      </c>
      <c r="D80" s="23">
        <v>1</v>
      </c>
      <c r="E80" s="26" t="s">
        <v>425</v>
      </c>
      <c r="F80" s="27" t="s">
        <v>451</v>
      </c>
      <c r="G80" s="23" t="str">
        <f t="shared" si="1"/>
        <v>{_id:79, fn:'F1', args:'159', format:1, units:'кгс/см2', name:'Стрийське ВУПЗГ.ПСГ Більче-Волиця.КЦ-1 Більче-Волиця.Рвх КС'},</v>
      </c>
    </row>
    <row r="81" spans="1:7" s="12" customFormat="1" x14ac:dyDescent="0.25">
      <c r="A81" s="23">
        <v>80</v>
      </c>
      <c r="B81" s="23" t="s">
        <v>326</v>
      </c>
      <c r="C81" s="24">
        <v>160</v>
      </c>
      <c r="D81" s="23">
        <v>1</v>
      </c>
      <c r="E81" s="26" t="s">
        <v>425</v>
      </c>
      <c r="F81" s="27" t="s">
        <v>452</v>
      </c>
      <c r="G81" s="23" t="str">
        <f t="shared" si="1"/>
        <v>{_id:80, fn:'F1', args:'160', format:1, units:'кгс/см2', name:'Стрийське ВУПЗГ.ПСГ Більче-Волиця.КЦ-1А Більче-Волиця.Рвх КС'},</v>
      </c>
    </row>
    <row r="82" spans="1:7" s="12" customFormat="1" x14ac:dyDescent="0.25">
      <c r="A82" s="23">
        <v>81</v>
      </c>
      <c r="B82" s="23" t="s">
        <v>326</v>
      </c>
      <c r="C82" s="24">
        <v>161</v>
      </c>
      <c r="D82" s="23">
        <v>1</v>
      </c>
      <c r="E82" s="26" t="s">
        <v>425</v>
      </c>
      <c r="F82" s="27" t="s">
        <v>453</v>
      </c>
      <c r="G82" s="23" t="str">
        <f t="shared" si="1"/>
        <v>{_id:81, fn:'F1', args:'161', format:1, units:'кгс/см2', name:'Стрийське ВУПЗГ.ПСГ Більче-Волиця.КЦ-2 Більче-Волиця.Рвх КС'},</v>
      </c>
    </row>
    <row r="83" spans="1:7" s="12" customFormat="1" x14ac:dyDescent="0.25">
      <c r="A83" s="23">
        <v>82</v>
      </c>
      <c r="B83" s="23" t="s">
        <v>326</v>
      </c>
      <c r="C83" s="24">
        <v>162</v>
      </c>
      <c r="D83" s="23">
        <v>1</v>
      </c>
      <c r="E83" s="26" t="s">
        <v>425</v>
      </c>
      <c r="F83" s="27" t="s">
        <v>454</v>
      </c>
      <c r="G83" s="23" t="str">
        <f t="shared" si="1"/>
        <v>{_id:82, fn:'F1', args:'162', format:1, units:'кгс/см2', name:'Стрийське ВУПЗГ.ПСГ Більче-Волиця.КЦ-3 Більче-Волиця.Рвх КС'},</v>
      </c>
    </row>
    <row r="84" spans="1:7" s="12" customFormat="1" x14ac:dyDescent="0.25">
      <c r="A84" s="23">
        <v>83</v>
      </c>
      <c r="B84" s="23" t="s">
        <v>326</v>
      </c>
      <c r="C84" s="24">
        <v>163</v>
      </c>
      <c r="D84" s="23">
        <v>1</v>
      </c>
      <c r="E84" s="26" t="s">
        <v>425</v>
      </c>
      <c r="F84" s="27" t="s">
        <v>455</v>
      </c>
      <c r="G84" s="23" t="str">
        <f t="shared" si="1"/>
        <v>{_id:83, fn:'F1', args:'163', format:1, units:'кгс/см2', name:'Стрийське ВУПЗГ.ПСГ Більче-Волиця.КЦ-4 Більче-Волиця.Рвх КС'},</v>
      </c>
    </row>
    <row r="85" spans="1:7" s="12" customFormat="1" x14ac:dyDescent="0.25">
      <c r="A85" s="23">
        <v>84</v>
      </c>
      <c r="B85" s="23" t="s">
        <v>326</v>
      </c>
      <c r="C85" s="24">
        <v>164</v>
      </c>
      <c r="D85" s="23">
        <v>1</v>
      </c>
      <c r="E85" s="26" t="s">
        <v>425</v>
      </c>
      <c r="F85" s="27" t="s">
        <v>456</v>
      </c>
      <c r="G85" s="23" t="str">
        <f t="shared" si="1"/>
        <v>{_id:84, fn:'F1', args:'164', format:1, units:'кгс/см2', name:'Пролетарське ВУПЗГ.ПСГ Пролетарське.ДКС Пролетарка.Рвх КС'},</v>
      </c>
    </row>
    <row r="86" spans="1:7" s="12" customFormat="1" x14ac:dyDescent="0.25">
      <c r="A86" s="23">
        <v>85</v>
      </c>
      <c r="B86" s="23" t="s">
        <v>326</v>
      </c>
      <c r="C86" s="24" t="s">
        <v>513</v>
      </c>
      <c r="D86" s="23">
        <v>1</v>
      </c>
      <c r="E86" s="26" t="s">
        <v>425</v>
      </c>
      <c r="F86" s="27" t="s">
        <v>457</v>
      </c>
      <c r="G86" s="23" t="str">
        <f t="shared" si="1"/>
        <v>{_id:85, fn:'F1', args:'165', format:1, units:'кгс/см2', name:'Пролетарське ВУПЗГ.ПСГ Кегичівське.ДКС Кегичівка.Рвх КС'},</v>
      </c>
    </row>
    <row r="87" spans="1:7" s="12" customFormat="1" x14ac:dyDescent="0.25">
      <c r="A87" s="23">
        <v>86</v>
      </c>
      <c r="B87" s="23" t="s">
        <v>326</v>
      </c>
      <c r="C87" s="24">
        <v>166</v>
      </c>
      <c r="D87" s="23">
        <v>1</v>
      </c>
      <c r="E87" s="26" t="s">
        <v>425</v>
      </c>
      <c r="F87" s="27" t="s">
        <v>458</v>
      </c>
      <c r="G87" s="23" t="str">
        <f t="shared" si="1"/>
        <v>{_id:86, fn:'F1', args:'166', format:1, units:'кгс/см2', name:'Пролетарське ВУПЗГ.ПСГ Краснопопівське.ДКС Краснопопіка.Рвх КС'},</v>
      </c>
    </row>
    <row r="88" spans="1:7" s="34" customFormat="1" x14ac:dyDescent="0.25">
      <c r="A88" s="31">
        <v>87</v>
      </c>
      <c r="B88" s="31" t="s">
        <v>515</v>
      </c>
      <c r="C88" s="32" t="s">
        <v>532</v>
      </c>
      <c r="D88" s="31">
        <v>2</v>
      </c>
      <c r="E88" s="31"/>
      <c r="F88" s="33" t="s">
        <v>516</v>
      </c>
      <c r="G88" s="31" t="str">
        <f t="shared" si="1"/>
        <v>{_id:87, fn:'F4', args:'55;71', format:2, units:'', name:'Мринське ВУПЗГ.ПСГ Мринське.КС-5 Бобровницька.ст стиснення'},</v>
      </c>
    </row>
    <row r="89" spans="1:7" s="34" customFormat="1" x14ac:dyDescent="0.25">
      <c r="A89" s="31">
        <v>88</v>
      </c>
      <c r="B89" s="31" t="s">
        <v>515</v>
      </c>
      <c r="C89" s="32" t="s">
        <v>533</v>
      </c>
      <c r="D89" s="31">
        <v>2</v>
      </c>
      <c r="E89" s="31"/>
      <c r="F89" s="33" t="s">
        <v>517</v>
      </c>
      <c r="G89" s="31" t="str">
        <f t="shared" si="1"/>
        <v>{_id:88, fn:'F4', args:'56;72', format:2, units:'', name:'Мринське ВУПЗГ.ПСГ Мринське.ДКС Мрин.ст стиснення'},</v>
      </c>
    </row>
    <row r="90" spans="1:7" s="34" customFormat="1" x14ac:dyDescent="0.25">
      <c r="A90" s="31">
        <v>89</v>
      </c>
      <c r="B90" s="31" t="s">
        <v>515</v>
      </c>
      <c r="C90" s="32" t="s">
        <v>534</v>
      </c>
      <c r="D90" s="31">
        <v>2</v>
      </c>
      <c r="E90" s="31"/>
      <c r="F90" s="33" t="s">
        <v>518</v>
      </c>
      <c r="G90" s="31" t="str">
        <f t="shared" si="1"/>
        <v>{_id:89, fn:'F4', args:'57;73', format:2, units:'', name:'Мринське ВУПЗГ.ПСГ Солоха.ДКС Солоха.ст стиснення'},</v>
      </c>
    </row>
    <row r="91" spans="1:7" s="34" customFormat="1" x14ac:dyDescent="0.25">
      <c r="A91" s="31">
        <v>90</v>
      </c>
      <c r="B91" s="31" t="s">
        <v>515</v>
      </c>
      <c r="C91" s="32" t="s">
        <v>535</v>
      </c>
      <c r="D91" s="31">
        <v>2</v>
      </c>
      <c r="E91" s="31"/>
      <c r="F91" s="33" t="s">
        <v>519</v>
      </c>
      <c r="G91" s="31" t="str">
        <f t="shared" si="1"/>
        <v>{_id:90, fn:'F4', args:'58;74', format:2, units:'', name:'Мринське ВУПЗГ.ПСГ Олишівка.ДКС Олишівка.ст стиснення'},</v>
      </c>
    </row>
    <row r="92" spans="1:7" s="34" customFormat="1" x14ac:dyDescent="0.25">
      <c r="A92" s="31">
        <v>91</v>
      </c>
      <c r="B92" s="31" t="s">
        <v>515</v>
      </c>
      <c r="C92" s="32" t="s">
        <v>536</v>
      </c>
      <c r="D92" s="31">
        <v>2</v>
      </c>
      <c r="E92" s="31"/>
      <c r="F92" s="33" t="s">
        <v>520</v>
      </c>
      <c r="G92" s="31" t="str">
        <f t="shared" si="1"/>
        <v>{_id:91, fn:'F4', args:'59;75', format:2, units:'', name:'Богородчанське ВУПЗГ.ПСГ Богородчани.ДКС Богородчани.ст стиснення'},</v>
      </c>
    </row>
    <row r="93" spans="1:7" s="34" customFormat="1" x14ac:dyDescent="0.25">
      <c r="A93" s="31">
        <v>92</v>
      </c>
      <c r="B93" s="31" t="s">
        <v>515</v>
      </c>
      <c r="C93" s="32" t="s">
        <v>537</v>
      </c>
      <c r="D93" s="31">
        <v>2</v>
      </c>
      <c r="E93" s="31"/>
      <c r="F93" s="33" t="s">
        <v>521</v>
      </c>
      <c r="G93" s="31" t="str">
        <f t="shared" si="1"/>
        <v>{_id:92, fn:'F4', args:'60;76', format:2, units:'', name:'Опарське ВУПЗГ.ПСГ Опарське.ДКС-1 Опари.ст стиснення'},</v>
      </c>
    </row>
    <row r="94" spans="1:7" s="34" customFormat="1" x14ac:dyDescent="0.25">
      <c r="A94" s="31">
        <v>93</v>
      </c>
      <c r="B94" s="31" t="s">
        <v>515</v>
      </c>
      <c r="C94" s="32" t="s">
        <v>538</v>
      </c>
      <c r="D94" s="31">
        <v>2</v>
      </c>
      <c r="E94" s="31"/>
      <c r="F94" s="33" t="s">
        <v>522</v>
      </c>
      <c r="G94" s="31" t="str">
        <f t="shared" si="1"/>
        <v>{_id:93, fn:'F4', args:'61;77', format:2, units:'', name:'Дашавське ВУПЗГ.ПСГ Дашавське.ДКС Дашава.ст стиснення'},</v>
      </c>
    </row>
    <row r="95" spans="1:7" s="34" customFormat="1" x14ac:dyDescent="0.25">
      <c r="A95" s="31">
        <v>94</v>
      </c>
      <c r="B95" s="31" t="s">
        <v>515</v>
      </c>
      <c r="C95" s="32" t="s">
        <v>539</v>
      </c>
      <c r="D95" s="31">
        <v>2</v>
      </c>
      <c r="E95" s="31"/>
      <c r="F95" s="33" t="s">
        <v>523</v>
      </c>
      <c r="G95" s="31" t="str">
        <f t="shared" si="1"/>
        <v>{_id:94, fn:'F4', args:'62;78', format:2, units:'', name:'Стрийське ВУПЗГ.ПСГ Угерське.ДКС Угерське.ст стиснення'},</v>
      </c>
    </row>
    <row r="96" spans="1:7" s="34" customFormat="1" x14ac:dyDescent="0.25">
      <c r="A96" s="31">
        <v>95</v>
      </c>
      <c r="B96" s="31" t="s">
        <v>515</v>
      </c>
      <c r="C96" s="32" t="s">
        <v>540</v>
      </c>
      <c r="D96" s="31">
        <v>2</v>
      </c>
      <c r="E96" s="31"/>
      <c r="F96" s="33" t="s">
        <v>524</v>
      </c>
      <c r="G96" s="31" t="str">
        <f t="shared" si="1"/>
        <v>{_id:95, fn:'F4', args:'63;79', format:2, units:'', name:'Стрийське ВУПЗГ.ПСГ Більче-Волиця.КЦ-1 Більче-Волиця.ст стиснення'},</v>
      </c>
    </row>
    <row r="97" spans="1:7" s="34" customFormat="1" x14ac:dyDescent="0.25">
      <c r="A97" s="31">
        <v>96</v>
      </c>
      <c r="B97" s="31" t="s">
        <v>515</v>
      </c>
      <c r="C97" s="32" t="s">
        <v>541</v>
      </c>
      <c r="D97" s="31">
        <v>2</v>
      </c>
      <c r="E97" s="31"/>
      <c r="F97" s="33" t="s">
        <v>525</v>
      </c>
      <c r="G97" s="31" t="str">
        <f t="shared" si="1"/>
        <v>{_id:96, fn:'F4', args:'64;80', format:2, units:'', name:'Стрийське ВУПЗГ.ПСГ Більче-Волиця.КЦ-1А Більче-Волиця.ст стиснення'},</v>
      </c>
    </row>
    <row r="98" spans="1:7" s="34" customFormat="1" x14ac:dyDescent="0.25">
      <c r="A98" s="31">
        <v>97</v>
      </c>
      <c r="B98" s="31" t="s">
        <v>515</v>
      </c>
      <c r="C98" s="32" t="s">
        <v>542</v>
      </c>
      <c r="D98" s="31">
        <v>2</v>
      </c>
      <c r="E98" s="31"/>
      <c r="F98" s="33" t="s">
        <v>526</v>
      </c>
      <c r="G98" s="31" t="str">
        <f t="shared" si="1"/>
        <v>{_id:97, fn:'F4', args:'65;81', format:2, units:'', name:'Стрийське ВУПЗГ.ПСГ Більче-Волиця.КЦ-2 Більче-Волиця.ст стиснення'},</v>
      </c>
    </row>
    <row r="99" spans="1:7" s="34" customFormat="1" x14ac:dyDescent="0.25">
      <c r="A99" s="31">
        <v>98</v>
      </c>
      <c r="B99" s="31" t="s">
        <v>515</v>
      </c>
      <c r="C99" s="32" t="s">
        <v>543</v>
      </c>
      <c r="D99" s="31">
        <v>2</v>
      </c>
      <c r="E99" s="31"/>
      <c r="F99" s="33" t="s">
        <v>527</v>
      </c>
      <c r="G99" s="31" t="str">
        <f t="shared" si="1"/>
        <v>{_id:98, fn:'F4', args:'66;82', format:2, units:'', name:'Стрийське ВУПЗГ.ПСГ Більче-Волиця.КЦ-3 Більче-Волиця.ст стиснення'},</v>
      </c>
    </row>
    <row r="100" spans="1:7" s="34" customFormat="1" x14ac:dyDescent="0.25">
      <c r="A100" s="31">
        <v>99</v>
      </c>
      <c r="B100" s="31" t="s">
        <v>515</v>
      </c>
      <c r="C100" s="32" t="s">
        <v>544</v>
      </c>
      <c r="D100" s="31">
        <v>2</v>
      </c>
      <c r="E100" s="31"/>
      <c r="F100" s="33" t="s">
        <v>528</v>
      </c>
      <c r="G100" s="31" t="str">
        <f t="shared" si="1"/>
        <v>{_id:99, fn:'F4', args:'67;83', format:2, units:'', name:'Стрийське ВУПЗГ.ПСГ Більче-Волиця.КЦ-4 Більче-Волиця.ст стиснення'},</v>
      </c>
    </row>
    <row r="101" spans="1:7" s="34" customFormat="1" x14ac:dyDescent="0.25">
      <c r="A101" s="31">
        <v>100</v>
      </c>
      <c r="B101" s="31" t="s">
        <v>515</v>
      </c>
      <c r="C101" s="32" t="s">
        <v>545</v>
      </c>
      <c r="D101" s="31">
        <v>2</v>
      </c>
      <c r="E101" s="31"/>
      <c r="F101" s="33" t="s">
        <v>529</v>
      </c>
      <c r="G101" s="31" t="str">
        <f t="shared" si="1"/>
        <v>{_id:100, fn:'F4', args:'68;84', format:2, units:'', name:'Пролетарське ВУПЗГ.ПСГ Пролетарське.ДКС Пролетарка.ст стиснення'},</v>
      </c>
    </row>
    <row r="102" spans="1:7" s="34" customFormat="1" x14ac:dyDescent="0.25">
      <c r="A102" s="31">
        <v>101</v>
      </c>
      <c r="B102" s="31" t="s">
        <v>515</v>
      </c>
      <c r="C102" s="32" t="s">
        <v>546</v>
      </c>
      <c r="D102" s="31">
        <v>2</v>
      </c>
      <c r="E102" s="31"/>
      <c r="F102" s="33" t="s">
        <v>530</v>
      </c>
      <c r="G102" s="31" t="str">
        <f t="shared" si="1"/>
        <v>{_id:101, fn:'F4', args:'69;85', format:2, units:'', name:'Пролетарське ВУПЗГ.ПСГ Кегичівське.ДКС Кегичівка.ст стиснення'},</v>
      </c>
    </row>
    <row r="103" spans="1:7" s="34" customFormat="1" x14ac:dyDescent="0.25">
      <c r="A103" s="31">
        <v>102</v>
      </c>
      <c r="B103" s="31" t="s">
        <v>515</v>
      </c>
      <c r="C103" s="32" t="s">
        <v>547</v>
      </c>
      <c r="D103" s="31">
        <v>2</v>
      </c>
      <c r="E103" s="31"/>
      <c r="F103" s="33" t="s">
        <v>531</v>
      </c>
      <c r="G103" s="31" t="str">
        <f t="shared" si="1"/>
        <v>{_id:102, fn:'F4', args:'70;86', format:2, units:'', name:'Пролетарське ВУПЗГ.ПСГ Краснопопівське.ДКС Краснопопіка.ст стиснення'},</v>
      </c>
    </row>
    <row r="104" spans="1:7" s="12" customFormat="1" x14ac:dyDescent="0.25">
      <c r="A104" s="23">
        <v>103</v>
      </c>
      <c r="B104" s="23" t="s">
        <v>326</v>
      </c>
      <c r="C104" s="24">
        <v>167</v>
      </c>
      <c r="D104" s="23">
        <v>0</v>
      </c>
      <c r="E104" s="26" t="s">
        <v>426</v>
      </c>
      <c r="F104" s="27" t="s">
        <v>459</v>
      </c>
      <c r="G104" s="23" t="str">
        <f t="shared" si="1"/>
        <v>{_id:103, fn:'F1', args:'167', format:0, units:'од', name:'Мринське ВУПЗГ.ПСГ Мринське.К-сть свердловин'},</v>
      </c>
    </row>
    <row r="105" spans="1:7" s="12" customFormat="1" x14ac:dyDescent="0.25">
      <c r="A105" s="23">
        <v>104</v>
      </c>
      <c r="B105" s="23" t="s">
        <v>326</v>
      </c>
      <c r="C105" s="24">
        <v>168</v>
      </c>
      <c r="D105" s="23">
        <v>0</v>
      </c>
      <c r="E105" s="26" t="s">
        <v>426</v>
      </c>
      <c r="F105" s="27" t="s">
        <v>460</v>
      </c>
      <c r="G105" s="23" t="str">
        <f t="shared" si="1"/>
        <v>{_id:104, fn:'F1', args:'168', format:0, units:'од', name:'Мринське ВУПЗГ.ПСГ Солоха.К-сть свердловин'},</v>
      </c>
    </row>
    <row r="106" spans="1:7" s="12" customFormat="1" x14ac:dyDescent="0.25">
      <c r="A106" s="23">
        <v>105</v>
      </c>
      <c r="B106" s="23" t="s">
        <v>326</v>
      </c>
      <c r="C106" s="24">
        <v>169</v>
      </c>
      <c r="D106" s="23">
        <v>0</v>
      </c>
      <c r="E106" s="26" t="s">
        <v>426</v>
      </c>
      <c r="F106" s="27" t="s">
        <v>461</v>
      </c>
      <c r="G106" s="23" t="str">
        <f t="shared" si="1"/>
        <v>{_id:105, fn:'F1', args:'169', format:0, units:'од', name:'Мринське ВУПЗГ.ПСГ Олишівка.К-сть свердловин'},</v>
      </c>
    </row>
    <row r="107" spans="1:7" s="12" customFormat="1" x14ac:dyDescent="0.25">
      <c r="A107" s="23">
        <v>106</v>
      </c>
      <c r="B107" s="23" t="s">
        <v>326</v>
      </c>
      <c r="C107" s="24">
        <v>170</v>
      </c>
      <c r="D107" s="23">
        <v>0</v>
      </c>
      <c r="E107" s="26" t="s">
        <v>426</v>
      </c>
      <c r="F107" s="27" t="s">
        <v>462</v>
      </c>
      <c r="G107" s="23" t="str">
        <f t="shared" si="1"/>
        <v>{_id:106, fn:'F1', args:'170', format:0, units:'од', name:'Богородчанське ВУПЗГ.ПСГ Богородчани.К-сть свердловин'},</v>
      </c>
    </row>
    <row r="108" spans="1:7" s="12" customFormat="1" x14ac:dyDescent="0.25">
      <c r="A108" s="23">
        <v>107</v>
      </c>
      <c r="B108" s="23" t="s">
        <v>326</v>
      </c>
      <c r="C108" s="24">
        <v>171</v>
      </c>
      <c r="D108" s="23">
        <v>0</v>
      </c>
      <c r="E108" s="26" t="s">
        <v>426</v>
      </c>
      <c r="F108" s="27" t="s">
        <v>463</v>
      </c>
      <c r="G108" s="23" t="str">
        <f t="shared" si="1"/>
        <v>{_id:107, fn:'F1', args:'171', format:0, units:'од', name:'Опарське ВУПЗГ.ПСГ Опарське.К-сть свердловин'},</v>
      </c>
    </row>
    <row r="109" spans="1:7" s="12" customFormat="1" x14ac:dyDescent="0.25">
      <c r="A109" s="23">
        <v>108</v>
      </c>
      <c r="B109" s="23" t="s">
        <v>326</v>
      </c>
      <c r="C109" s="24">
        <v>172</v>
      </c>
      <c r="D109" s="23">
        <v>0</v>
      </c>
      <c r="E109" s="26" t="s">
        <v>426</v>
      </c>
      <c r="F109" s="27" t="s">
        <v>464</v>
      </c>
      <c r="G109" s="23" t="str">
        <f t="shared" si="1"/>
        <v>{_id:108, fn:'F1', args:'172', format:0, units:'од', name:'Дашавське ВУПЗГ.ПСГ Дашавське.К-сть свердловин'},</v>
      </c>
    </row>
    <row r="110" spans="1:7" s="12" customFormat="1" x14ac:dyDescent="0.25">
      <c r="A110" s="23">
        <v>109</v>
      </c>
      <c r="B110" s="23" t="s">
        <v>326</v>
      </c>
      <c r="C110" s="24">
        <v>173</v>
      </c>
      <c r="D110" s="23">
        <v>0</v>
      </c>
      <c r="E110" s="26" t="s">
        <v>426</v>
      </c>
      <c r="F110" s="27" t="s">
        <v>465</v>
      </c>
      <c r="G110" s="23" t="str">
        <f t="shared" si="1"/>
        <v>{_id:109, fn:'F1', args:'173', format:0, units:'од', name:'Стрийське ВУПЗГ.ПСГ Угерське.К-сть свердловин'},</v>
      </c>
    </row>
    <row r="111" spans="1:7" s="12" customFormat="1" x14ac:dyDescent="0.25">
      <c r="A111" s="23">
        <v>110</v>
      </c>
      <c r="B111" s="23" t="s">
        <v>326</v>
      </c>
      <c r="C111" s="24">
        <v>174</v>
      </c>
      <c r="D111" s="23">
        <v>0</v>
      </c>
      <c r="E111" s="26" t="s">
        <v>426</v>
      </c>
      <c r="F111" s="27" t="s">
        <v>466</v>
      </c>
      <c r="G111" s="23" t="str">
        <f t="shared" si="1"/>
        <v>{_id:110, fn:'F1', args:'174', format:0, units:'од', name:'Стрийське ВУПЗГ.ПСГ Більче-Волиця.ГЗП-1.К-сть свердловин'},</v>
      </c>
    </row>
    <row r="112" spans="1:7" s="12" customFormat="1" x14ac:dyDescent="0.25">
      <c r="A112" s="23">
        <v>111</v>
      </c>
      <c r="B112" s="23" t="s">
        <v>326</v>
      </c>
      <c r="C112" s="24">
        <v>175</v>
      </c>
      <c r="D112" s="23">
        <v>0</v>
      </c>
      <c r="E112" s="26" t="s">
        <v>426</v>
      </c>
      <c r="F112" s="27" t="s">
        <v>467</v>
      </c>
      <c r="G112" s="23" t="str">
        <f t="shared" si="1"/>
        <v>{_id:111, fn:'F1', args:'175', format:0, units:'од', name:'Стрийське ВУПЗГ.ПСГ Більче-Волиця.ГЗП-2.К-сть свердловин'},</v>
      </c>
    </row>
    <row r="113" spans="1:7" s="12" customFormat="1" x14ac:dyDescent="0.25">
      <c r="A113" s="23">
        <v>112</v>
      </c>
      <c r="B113" s="23" t="s">
        <v>326</v>
      </c>
      <c r="C113" s="24">
        <v>176</v>
      </c>
      <c r="D113" s="23">
        <v>0</v>
      </c>
      <c r="E113" s="26" t="s">
        <v>426</v>
      </c>
      <c r="F113" s="27" t="s">
        <v>468</v>
      </c>
      <c r="G113" s="23" t="str">
        <f t="shared" si="1"/>
        <v>{_id:112, fn:'F1', args:'176', format:0, units:'од', name:'Стрийське ВУПЗГ.ПСГ Більче-Волиця.ГЗП-3.К-сть свердловин'},</v>
      </c>
    </row>
    <row r="114" spans="1:7" x14ac:dyDescent="0.25">
      <c r="A114" s="23">
        <v>113</v>
      </c>
      <c r="B114" s="23" t="s">
        <v>326</v>
      </c>
      <c r="C114" s="24">
        <v>177</v>
      </c>
      <c r="D114" s="23">
        <v>0</v>
      </c>
      <c r="E114" s="26" t="s">
        <v>426</v>
      </c>
      <c r="F114" s="27" t="s">
        <v>469</v>
      </c>
      <c r="G114" s="23" t="str">
        <f t="shared" si="1"/>
        <v>{_id:113, fn:'F1', args:'177', format:0, units:'од', name:'Стрийське ВУПЗГ.ПСГ Більче-Волиця.ГЗП-4.К-сть свердловин'},</v>
      </c>
    </row>
    <row r="115" spans="1:7" x14ac:dyDescent="0.25">
      <c r="A115" s="23">
        <v>114</v>
      </c>
      <c r="B115" s="23" t="s">
        <v>326</v>
      </c>
      <c r="C115" s="24">
        <v>178</v>
      </c>
      <c r="D115" s="23">
        <v>0</v>
      </c>
      <c r="E115" s="26" t="s">
        <v>426</v>
      </c>
      <c r="F115" s="27" t="s">
        <v>470</v>
      </c>
      <c r="G115" s="23" t="str">
        <f t="shared" si="1"/>
        <v>{_id:114, fn:'F1', args:'178', format:0, units:'од', name:'Пролетарське ВУПЗГ.ПСГ Пролетарське.К-сть свердловин'},</v>
      </c>
    </row>
    <row r="116" spans="1:7" x14ac:dyDescent="0.25">
      <c r="A116" s="23">
        <v>115</v>
      </c>
      <c r="B116" s="23" t="s">
        <v>326</v>
      </c>
      <c r="C116" s="24">
        <v>179</v>
      </c>
      <c r="D116" s="23">
        <v>0</v>
      </c>
      <c r="E116" s="26" t="s">
        <v>426</v>
      </c>
      <c r="F116" s="27" t="s">
        <v>471</v>
      </c>
      <c r="G116" s="23" t="str">
        <f t="shared" si="1"/>
        <v>{_id:115, fn:'F1', args:'179', format:0, units:'од', name:'Пролетарське ВУПЗГ.ПСГ Кегичівське.К-сть свердловин'},</v>
      </c>
    </row>
    <row r="117" spans="1:7" x14ac:dyDescent="0.25">
      <c r="A117" s="23">
        <v>116</v>
      </c>
      <c r="B117" s="23" t="s">
        <v>326</v>
      </c>
      <c r="C117" s="24">
        <v>180</v>
      </c>
      <c r="D117" s="23">
        <v>0</v>
      </c>
      <c r="E117" s="26" t="s">
        <v>426</v>
      </c>
      <c r="F117" s="27" t="s">
        <v>472</v>
      </c>
      <c r="G117" s="23" t="str">
        <f t="shared" si="1"/>
        <v>{_id:116, fn:'F1', args:'180', format:0, units:'од', name:'Пролетарське ВУПЗГ.ПСГ Краснопопівське.К-сть свердловин'},</v>
      </c>
    </row>
    <row r="118" spans="1:7" x14ac:dyDescent="0.25">
      <c r="A118" s="23">
        <v>117</v>
      </c>
      <c r="B118" s="23" t="s">
        <v>326</v>
      </c>
      <c r="C118" s="24">
        <v>181</v>
      </c>
      <c r="D118" s="23">
        <v>0</v>
      </c>
      <c r="E118" s="26"/>
      <c r="F118" s="27" t="s">
        <v>473</v>
      </c>
      <c r="G118" s="23" t="str">
        <f t="shared" si="1"/>
        <v>{_id:117, fn:'F1', args:'181', format:0, units:'', name:'Мринське ВУПЗГ.ПСГ Мринське.Стан ПСГ'},</v>
      </c>
    </row>
    <row r="119" spans="1:7" x14ac:dyDescent="0.25">
      <c r="A119" s="23">
        <v>118</v>
      </c>
      <c r="B119" s="23" t="s">
        <v>326</v>
      </c>
      <c r="C119" s="24">
        <v>182</v>
      </c>
      <c r="D119" s="23">
        <v>0</v>
      </c>
      <c r="E119" s="26"/>
      <c r="F119" s="27" t="s">
        <v>474</v>
      </c>
      <c r="G119" s="23" t="str">
        <f t="shared" si="1"/>
        <v>{_id:118, fn:'F1', args:'182', format:0, units:'', name:'Мринське ВУПЗГ.ПСГ Солоха.Стан ПСГ'},</v>
      </c>
    </row>
    <row r="120" spans="1:7" x14ac:dyDescent="0.25">
      <c r="A120" s="23">
        <v>119</v>
      </c>
      <c r="B120" s="23" t="s">
        <v>326</v>
      </c>
      <c r="C120" s="24">
        <v>183</v>
      </c>
      <c r="D120" s="23">
        <v>0</v>
      </c>
      <c r="E120" s="26"/>
      <c r="F120" s="27" t="s">
        <v>475</v>
      </c>
      <c r="G120" s="23" t="str">
        <f t="shared" si="1"/>
        <v>{_id:119, fn:'F1', args:'183', format:0, units:'', name:'Мринське ВУПЗГ.ПСГ Олишівка.Стан ПСГ'},</v>
      </c>
    </row>
    <row r="121" spans="1:7" x14ac:dyDescent="0.25">
      <c r="A121" s="23">
        <v>120</v>
      </c>
      <c r="B121" s="23" t="s">
        <v>326</v>
      </c>
      <c r="C121" s="24">
        <v>184</v>
      </c>
      <c r="D121" s="23">
        <v>0</v>
      </c>
      <c r="E121" s="26"/>
      <c r="F121" s="27" t="s">
        <v>476</v>
      </c>
      <c r="G121" s="23" t="str">
        <f t="shared" si="1"/>
        <v>{_id:120, fn:'F1', args:'184', format:0, units:'', name:'Богородчанське ВУПЗГ.ПСГ Богородчани.Стан ПСГ'},</v>
      </c>
    </row>
    <row r="122" spans="1:7" x14ac:dyDescent="0.25">
      <c r="A122" s="23">
        <v>121</v>
      </c>
      <c r="B122" s="23" t="s">
        <v>326</v>
      </c>
      <c r="C122" s="24">
        <v>185</v>
      </c>
      <c r="D122" s="23">
        <v>0</v>
      </c>
      <c r="E122" s="26"/>
      <c r="F122" s="27" t="s">
        <v>477</v>
      </c>
      <c r="G122" s="23" t="str">
        <f t="shared" si="1"/>
        <v>{_id:121, fn:'F1', args:'185', format:0, units:'', name:'Опарське ВУПЗГ.ПСГ Опарське.Стан ПСГ'},</v>
      </c>
    </row>
    <row r="123" spans="1:7" x14ac:dyDescent="0.25">
      <c r="A123" s="23">
        <v>122</v>
      </c>
      <c r="B123" s="23" t="s">
        <v>326</v>
      </c>
      <c r="C123" s="24">
        <v>186</v>
      </c>
      <c r="D123" s="23">
        <v>0</v>
      </c>
      <c r="E123" s="26"/>
      <c r="F123" s="27" t="s">
        <v>478</v>
      </c>
      <c r="G123" s="23" t="str">
        <f t="shared" si="1"/>
        <v>{_id:122, fn:'F1', args:'186', format:0, units:'', name:'Дашавське ВУПЗГ.ПСГ Дашавське.Стан ПСГ'},</v>
      </c>
    </row>
    <row r="124" spans="1:7" x14ac:dyDescent="0.25">
      <c r="A124" s="23">
        <v>123</v>
      </c>
      <c r="B124" s="23" t="s">
        <v>326</v>
      </c>
      <c r="C124" s="24">
        <v>187</v>
      </c>
      <c r="D124" s="23">
        <v>0</v>
      </c>
      <c r="E124" s="26"/>
      <c r="F124" s="27" t="s">
        <v>479</v>
      </c>
      <c r="G124" s="23" t="str">
        <f t="shared" si="1"/>
        <v>{_id:123, fn:'F1', args:'187', format:0, units:'', name:'Стрийське ВУПЗГ.ПСГ Угерське.Стан ПСГ'},</v>
      </c>
    </row>
    <row r="125" spans="1:7" x14ac:dyDescent="0.25">
      <c r="A125" s="23">
        <v>124</v>
      </c>
      <c r="B125" s="23" t="s">
        <v>326</v>
      </c>
      <c r="C125" s="24">
        <v>188</v>
      </c>
      <c r="D125" s="23">
        <v>0</v>
      </c>
      <c r="E125" s="26"/>
      <c r="F125" s="27" t="s">
        <v>480</v>
      </c>
      <c r="G125" s="23" t="str">
        <f t="shared" si="1"/>
        <v>{_id:124, fn:'F1', args:'188', format:0, units:'', name:'Стрийське ВУПЗГ.ПСГ Більче-Волиця.Стан ПСГ'},</v>
      </c>
    </row>
    <row r="126" spans="1:7" x14ac:dyDescent="0.25">
      <c r="A126" s="23">
        <v>125</v>
      </c>
      <c r="B126" s="23" t="s">
        <v>326</v>
      </c>
      <c r="C126" s="24">
        <v>189</v>
      </c>
      <c r="D126" s="23">
        <v>0</v>
      </c>
      <c r="E126" s="26"/>
      <c r="F126" s="27" t="s">
        <v>481</v>
      </c>
      <c r="G126" s="23" t="str">
        <f t="shared" si="1"/>
        <v>{_id:125, fn:'F1', args:'189', format:0, units:'', name:'Пролетарське ВУПЗГ.ПСГ Пролетарське.Стан ПСГ'},</v>
      </c>
    </row>
    <row r="127" spans="1:7" x14ac:dyDescent="0.25">
      <c r="A127" s="23">
        <v>126</v>
      </c>
      <c r="B127" s="23" t="s">
        <v>326</v>
      </c>
      <c r="C127" s="24">
        <v>190</v>
      </c>
      <c r="D127" s="23">
        <v>0</v>
      </c>
      <c r="E127" s="26"/>
      <c r="F127" s="27" t="s">
        <v>482</v>
      </c>
      <c r="G127" s="23" t="str">
        <f t="shared" si="1"/>
        <v>{_id:126, fn:'F1', args:'190', format:0, units:'', name:'Пролетарське ВУПЗГ.ПСГ Кегичівське.Стан ПСГ'},</v>
      </c>
    </row>
    <row r="128" spans="1:7" x14ac:dyDescent="0.25">
      <c r="A128" s="23">
        <v>127</v>
      </c>
      <c r="B128" s="23" t="s">
        <v>326</v>
      </c>
      <c r="C128" s="24">
        <v>191</v>
      </c>
      <c r="D128" s="23">
        <v>0</v>
      </c>
      <c r="E128" s="26"/>
      <c r="F128" s="27" t="s">
        <v>483</v>
      </c>
      <c r="G128" s="23" t="str">
        <f t="shared" si="1"/>
        <v>{_id:127, fn:'F1', args:'191', format:0, units:'', name:'Пролетарське ВУПЗГ.ПСГ Краснопопівське.Стан ПСГ'},</v>
      </c>
    </row>
    <row r="129" spans="1:7" x14ac:dyDescent="0.25">
      <c r="A129" s="23">
        <v>128</v>
      </c>
      <c r="B129" s="23" t="s">
        <v>326</v>
      </c>
      <c r="C129" s="24">
        <v>192</v>
      </c>
      <c r="D129" s="23">
        <v>0</v>
      </c>
      <c r="E129" s="26" t="s">
        <v>426</v>
      </c>
      <c r="F129" s="27" t="s">
        <v>484</v>
      </c>
      <c r="G129" s="23" t="str">
        <f t="shared" si="1"/>
        <v>{_id:128, fn:'F1', args:'192', format:0, units:'од', name:'Мринське ВУПЗГ.ПСГ Мринське.КС-5 Бобровницька.N ГПА в роботі'},</v>
      </c>
    </row>
    <row r="130" spans="1:7" x14ac:dyDescent="0.25">
      <c r="A130" s="23">
        <v>129</v>
      </c>
      <c r="B130" s="23" t="s">
        <v>326</v>
      </c>
      <c r="C130" s="24">
        <v>193</v>
      </c>
      <c r="D130" s="23">
        <v>0</v>
      </c>
      <c r="E130" s="26" t="s">
        <v>426</v>
      </c>
      <c r="F130" s="27" t="s">
        <v>485</v>
      </c>
      <c r="G130" s="23" t="str">
        <f t="shared" si="1"/>
        <v>{_id:129, fn:'F1', args:'193', format:0, units:'од', name:'Мринське ВУПЗГ.ПСГ Мринське.ДКС Мрин.N ГПА в роботі'},</v>
      </c>
    </row>
    <row r="131" spans="1:7" x14ac:dyDescent="0.25">
      <c r="A131" s="23">
        <v>130</v>
      </c>
      <c r="B131" s="23" t="s">
        <v>326</v>
      </c>
      <c r="C131" s="24">
        <v>194</v>
      </c>
      <c r="D131" s="23">
        <v>0</v>
      </c>
      <c r="E131" s="26" t="s">
        <v>426</v>
      </c>
      <c r="F131" s="27" t="s">
        <v>486</v>
      </c>
      <c r="G131" s="23" t="str">
        <f t="shared" ref="G131:G194" si="2">CONCATENATE("{_id:",A131,", fn:'",B131,"', args:'",C131,"', format:",D131,", units:'",E131,"', name:'",F131,"'},")</f>
        <v>{_id:130, fn:'F1', args:'194', format:0, units:'од', name:'Мринське ВУПЗГ.ПСГ Солоха.ДКС Солоха.N ГПА в роботі'},</v>
      </c>
    </row>
    <row r="132" spans="1:7" x14ac:dyDescent="0.25">
      <c r="A132" s="23">
        <v>131</v>
      </c>
      <c r="B132" s="23" t="s">
        <v>326</v>
      </c>
      <c r="C132" s="24">
        <v>195</v>
      </c>
      <c r="D132" s="23">
        <v>0</v>
      </c>
      <c r="E132" s="26" t="s">
        <v>426</v>
      </c>
      <c r="F132" s="27" t="s">
        <v>487</v>
      </c>
      <c r="G132" s="23" t="str">
        <f t="shared" si="2"/>
        <v>{_id:131, fn:'F1', args:'195', format:0, units:'од', name:'Мринське ВУПЗГ.ПСГ Олишівка.ДКС Олишівка.N ГПА в роботі'},</v>
      </c>
    </row>
    <row r="133" spans="1:7" x14ac:dyDescent="0.25">
      <c r="A133" s="23">
        <v>132</v>
      </c>
      <c r="B133" s="23" t="s">
        <v>326</v>
      </c>
      <c r="C133" s="24">
        <v>196</v>
      </c>
      <c r="D133" s="23">
        <v>0</v>
      </c>
      <c r="E133" s="26" t="s">
        <v>426</v>
      </c>
      <c r="F133" s="27" t="s">
        <v>488</v>
      </c>
      <c r="G133" s="23" t="str">
        <f t="shared" si="2"/>
        <v>{_id:132, fn:'F1', args:'196', format:0, units:'од', name:'Богородчанське ВУПЗГ.ПСГ Богородчани.ДКС Богородчани.N ГПА в роботі'},</v>
      </c>
    </row>
    <row r="134" spans="1:7" x14ac:dyDescent="0.25">
      <c r="A134" s="23">
        <v>133</v>
      </c>
      <c r="B134" s="23" t="s">
        <v>326</v>
      </c>
      <c r="C134" s="24">
        <v>197</v>
      </c>
      <c r="D134" s="23">
        <v>0</v>
      </c>
      <c r="E134" s="26" t="s">
        <v>426</v>
      </c>
      <c r="F134" s="27" t="s">
        <v>489</v>
      </c>
      <c r="G134" s="23" t="str">
        <f t="shared" si="2"/>
        <v>{_id:133, fn:'F1', args:'197', format:0, units:'од', name:'Опарське ВУПЗГ.ПСГ Опарське.ДКС-1 Опари.N ГПА в роботі'},</v>
      </c>
    </row>
    <row r="135" spans="1:7" x14ac:dyDescent="0.25">
      <c r="A135" s="23">
        <v>134</v>
      </c>
      <c r="B135" s="23" t="s">
        <v>326</v>
      </c>
      <c r="C135" s="24">
        <v>198</v>
      </c>
      <c r="D135" s="23">
        <v>0</v>
      </c>
      <c r="E135" s="26" t="s">
        <v>426</v>
      </c>
      <c r="F135" s="27" t="s">
        <v>490</v>
      </c>
      <c r="G135" s="23" t="str">
        <f t="shared" si="2"/>
        <v>{_id:134, fn:'F1', args:'198', format:0, units:'од', name:'Опарське ВУПЗГ.ПСГ Опарське.ДКС-2 Опари.N ГПА в роботі'},</v>
      </c>
    </row>
    <row r="136" spans="1:7" x14ac:dyDescent="0.25">
      <c r="A136" s="23">
        <v>135</v>
      </c>
      <c r="B136" s="23" t="s">
        <v>326</v>
      </c>
      <c r="C136" s="24">
        <v>199</v>
      </c>
      <c r="D136" s="23">
        <v>0</v>
      </c>
      <c r="E136" s="26" t="s">
        <v>426</v>
      </c>
      <c r="F136" s="27" t="s">
        <v>491</v>
      </c>
      <c r="G136" s="23" t="str">
        <f t="shared" si="2"/>
        <v>{_id:135, fn:'F1', args:'199', format:0, units:'од', name:'Дашавське ВУПЗГ.ПСГ Дашавське.ДКС Дашава.N ГПА в роботі'},</v>
      </c>
    </row>
    <row r="137" spans="1:7" x14ac:dyDescent="0.25">
      <c r="A137" s="23">
        <v>136</v>
      </c>
      <c r="B137" s="23" t="s">
        <v>326</v>
      </c>
      <c r="C137" s="24">
        <v>200</v>
      </c>
      <c r="D137" s="23">
        <v>0</v>
      </c>
      <c r="E137" s="26" t="s">
        <v>426</v>
      </c>
      <c r="F137" s="27" t="s">
        <v>492</v>
      </c>
      <c r="G137" s="23" t="str">
        <f t="shared" si="2"/>
        <v>{_id:136, fn:'F1', args:'200', format:0, units:'од', name:'Стрийське ВУПЗГ.ПСГ Угерське.ДКС Угерське.N ГПА в роботі'},</v>
      </c>
    </row>
    <row r="138" spans="1:7" x14ac:dyDescent="0.25">
      <c r="A138" s="23">
        <v>137</v>
      </c>
      <c r="B138" s="23" t="s">
        <v>326</v>
      </c>
      <c r="C138" s="24">
        <v>201</v>
      </c>
      <c r="D138" s="23">
        <v>0</v>
      </c>
      <c r="E138" s="26" t="s">
        <v>426</v>
      </c>
      <c r="F138" s="27" t="s">
        <v>493</v>
      </c>
      <c r="G138" s="23" t="str">
        <f t="shared" si="2"/>
        <v>{_id:137, fn:'F1', args:'201', format:0, units:'од', name:'Стрийське ВУПЗГ.ПСГ Більче-Волиця.КЦ-1 Більче-Волиця.N ГПА в роботі'},</v>
      </c>
    </row>
    <row r="139" spans="1:7" x14ac:dyDescent="0.25">
      <c r="A139" s="23">
        <v>138</v>
      </c>
      <c r="B139" s="23" t="s">
        <v>326</v>
      </c>
      <c r="C139" s="24">
        <v>202</v>
      </c>
      <c r="D139" s="23">
        <v>0</v>
      </c>
      <c r="E139" s="26" t="s">
        <v>426</v>
      </c>
      <c r="F139" s="27" t="s">
        <v>494</v>
      </c>
      <c r="G139" s="23" t="str">
        <f t="shared" si="2"/>
        <v>{_id:138, fn:'F1', args:'202', format:0, units:'од', name:'Стрийське ВУПЗГ.ПСГ Більче-Волиця.КЦ-1А Більче-Волиця.N ГПА в роботі'},</v>
      </c>
    </row>
    <row r="140" spans="1:7" x14ac:dyDescent="0.25">
      <c r="A140" s="23">
        <v>139</v>
      </c>
      <c r="B140" s="23" t="s">
        <v>326</v>
      </c>
      <c r="C140" s="24">
        <v>203</v>
      </c>
      <c r="D140" s="23">
        <v>0</v>
      </c>
      <c r="E140" s="26" t="s">
        <v>426</v>
      </c>
      <c r="F140" s="27" t="s">
        <v>495</v>
      </c>
      <c r="G140" s="23" t="str">
        <f t="shared" si="2"/>
        <v>{_id:139, fn:'F1', args:'203', format:0, units:'од', name:'Стрийське ВУПЗГ.ПСГ Більче-Волиця.КЦ-2 Більче-Волиця.N ГПА в роботі'},</v>
      </c>
    </row>
    <row r="141" spans="1:7" x14ac:dyDescent="0.25">
      <c r="A141" s="23">
        <v>140</v>
      </c>
      <c r="B141" s="23" t="s">
        <v>326</v>
      </c>
      <c r="C141" s="24">
        <v>204</v>
      </c>
      <c r="D141" s="23">
        <v>0</v>
      </c>
      <c r="E141" s="26" t="s">
        <v>426</v>
      </c>
      <c r="F141" s="27" t="s">
        <v>496</v>
      </c>
      <c r="G141" s="23" t="str">
        <f t="shared" si="2"/>
        <v>{_id:140, fn:'F1', args:'204', format:0, units:'од', name:'Стрийське ВУПЗГ.ПСГ Більче-Волиця.КЦ-3 Більче-Волиця.N ГПА в роботі'},</v>
      </c>
    </row>
    <row r="142" spans="1:7" x14ac:dyDescent="0.25">
      <c r="A142" s="23">
        <v>141</v>
      </c>
      <c r="B142" s="23" t="s">
        <v>326</v>
      </c>
      <c r="C142" s="24">
        <v>205</v>
      </c>
      <c r="D142" s="23">
        <v>0</v>
      </c>
      <c r="E142" s="26" t="s">
        <v>426</v>
      </c>
      <c r="F142" s="27" t="s">
        <v>497</v>
      </c>
      <c r="G142" s="23" t="str">
        <f t="shared" si="2"/>
        <v>{_id:141, fn:'F1', args:'205', format:0, units:'од', name:'Стрийське ВУПЗГ.ПСГ Більче-Волиця.КЦ-4 Більче-Волиця.N ГПА в роботі'},</v>
      </c>
    </row>
    <row r="143" spans="1:7" x14ac:dyDescent="0.25">
      <c r="A143" s="23">
        <v>142</v>
      </c>
      <c r="B143" s="23" t="s">
        <v>326</v>
      </c>
      <c r="C143" s="24">
        <v>206</v>
      </c>
      <c r="D143" s="23">
        <v>0</v>
      </c>
      <c r="E143" s="26" t="s">
        <v>426</v>
      </c>
      <c r="F143" s="27" t="s">
        <v>498</v>
      </c>
      <c r="G143" s="23" t="str">
        <f t="shared" si="2"/>
        <v>{_id:142, fn:'F1', args:'206', format:0, units:'од', name:'Пролетарське ВУПЗГ.ПСГ Пролетарське.ДКС Пролетарка.N ГПА в роботі'},</v>
      </c>
    </row>
    <row r="144" spans="1:7" x14ac:dyDescent="0.25">
      <c r="A144" s="23">
        <v>143</v>
      </c>
      <c r="B144" s="23" t="s">
        <v>326</v>
      </c>
      <c r="C144" s="24">
        <v>207</v>
      </c>
      <c r="D144" s="23">
        <v>0</v>
      </c>
      <c r="E144" s="26" t="s">
        <v>426</v>
      </c>
      <c r="F144" s="27" t="s">
        <v>499</v>
      </c>
      <c r="G144" s="23" t="str">
        <f t="shared" si="2"/>
        <v>{_id:143, fn:'F1', args:'207', format:0, units:'од', name:'Пролетарське ВУПЗГ.ПСГ Кегичівське.ДКС Кегичівка.N ГПА в роботі'},</v>
      </c>
    </row>
    <row r="145" spans="1:7" x14ac:dyDescent="0.25">
      <c r="A145" s="23">
        <v>144</v>
      </c>
      <c r="B145" s="23" t="s">
        <v>326</v>
      </c>
      <c r="C145" s="24">
        <v>208</v>
      </c>
      <c r="D145" s="23">
        <v>0</v>
      </c>
      <c r="E145" s="26" t="s">
        <v>426</v>
      </c>
      <c r="F145" s="27" t="s">
        <v>500</v>
      </c>
      <c r="G145" s="23" t="str">
        <f t="shared" si="2"/>
        <v>{_id:144, fn:'F1', args:'208', format:0, units:'од', name:'Пролетарське ВУПЗГ.ПСГ Краснопопівське.ДКС Краснопопіка.N ГПА в роботі'},</v>
      </c>
    </row>
    <row r="146" spans="1:7" x14ac:dyDescent="0.25">
      <c r="A146" s="23">
        <v>145</v>
      </c>
      <c r="B146" s="23" t="s">
        <v>326</v>
      </c>
      <c r="C146" s="24">
        <v>209</v>
      </c>
      <c r="D146" s="23">
        <v>3</v>
      </c>
      <c r="E146" s="23" t="s">
        <v>340</v>
      </c>
      <c r="F146" s="27" t="s">
        <v>501</v>
      </c>
      <c r="G146" s="23" t="str">
        <f t="shared" si="2"/>
        <v>{_id:145, fn:'F1', args:'209', format:3, units:'тис.м3', name:'Мринське ВУПЗГ.ПСГ Мринське.Qвтв ВОГ'},</v>
      </c>
    </row>
    <row r="147" spans="1:7" x14ac:dyDescent="0.25">
      <c r="A147" s="23">
        <v>146</v>
      </c>
      <c r="B147" s="23" t="s">
        <v>326</v>
      </c>
      <c r="C147" s="24">
        <v>210</v>
      </c>
      <c r="D147" s="23">
        <v>3</v>
      </c>
      <c r="E147" s="23" t="s">
        <v>340</v>
      </c>
      <c r="F147" s="27" t="s">
        <v>502</v>
      </c>
      <c r="G147" s="23" t="str">
        <f t="shared" si="2"/>
        <v>{_id:146, fn:'F1', args:'210', format:3, units:'тис.м3', name:'Мринське ВУПЗГ.ПСГ Солоха.Qвтв ВОГ'},</v>
      </c>
    </row>
    <row r="148" spans="1:7" x14ac:dyDescent="0.25">
      <c r="A148" s="23">
        <v>147</v>
      </c>
      <c r="B148" s="23" t="s">
        <v>326</v>
      </c>
      <c r="C148" s="24">
        <v>211</v>
      </c>
      <c r="D148" s="23">
        <v>3</v>
      </c>
      <c r="E148" s="23" t="s">
        <v>340</v>
      </c>
      <c r="F148" s="27" t="s">
        <v>503</v>
      </c>
      <c r="G148" s="23" t="str">
        <f t="shared" si="2"/>
        <v>{_id:147, fn:'F1', args:'211', format:3, units:'тис.м3', name:'Мринське ВУПЗГ.ПСГ Олишівка.Qвтв ВОГ'},</v>
      </c>
    </row>
    <row r="149" spans="1:7" x14ac:dyDescent="0.25">
      <c r="A149" s="23">
        <v>148</v>
      </c>
      <c r="B149" s="23" t="s">
        <v>326</v>
      </c>
      <c r="C149" s="24">
        <v>212</v>
      </c>
      <c r="D149" s="23">
        <v>3</v>
      </c>
      <c r="E149" s="23" t="s">
        <v>340</v>
      </c>
      <c r="F149" s="27" t="s">
        <v>504</v>
      </c>
      <c r="G149" s="23" t="str">
        <f t="shared" si="2"/>
        <v>{_id:148, fn:'F1', args:'212', format:3, units:'тис.м3', name:'Богородчанське ВУПЗГ.ПСГ Богородчани.Qвтв ВОГ'},</v>
      </c>
    </row>
    <row r="150" spans="1:7" x14ac:dyDescent="0.25">
      <c r="A150" s="23">
        <v>149</v>
      </c>
      <c r="B150" s="23" t="s">
        <v>326</v>
      </c>
      <c r="C150" s="24">
        <v>213</v>
      </c>
      <c r="D150" s="23">
        <v>3</v>
      </c>
      <c r="E150" s="23" t="s">
        <v>340</v>
      </c>
      <c r="F150" s="27" t="s">
        <v>505</v>
      </c>
      <c r="G150" s="23" t="str">
        <f t="shared" si="2"/>
        <v>{_id:149, fn:'F1', args:'213', format:3, units:'тис.м3', name:'Опарське ВУПЗГ.ПСГ Опарське.Qвтв ВОГ'},</v>
      </c>
    </row>
    <row r="151" spans="1:7" x14ac:dyDescent="0.25">
      <c r="A151" s="23">
        <v>150</v>
      </c>
      <c r="B151" s="23" t="s">
        <v>326</v>
      </c>
      <c r="C151" s="24">
        <v>214</v>
      </c>
      <c r="D151" s="23">
        <v>3</v>
      </c>
      <c r="E151" s="23" t="s">
        <v>340</v>
      </c>
      <c r="F151" s="27" t="s">
        <v>506</v>
      </c>
      <c r="G151" s="23" t="str">
        <f t="shared" si="2"/>
        <v>{_id:150, fn:'F1', args:'214', format:3, units:'тис.м3', name:'Дашавське ВУПЗГ.ПСГ Дашавське.Qвтв ВОГ'},</v>
      </c>
    </row>
    <row r="152" spans="1:7" x14ac:dyDescent="0.25">
      <c r="A152" s="23">
        <v>151</v>
      </c>
      <c r="B152" s="23" t="s">
        <v>326</v>
      </c>
      <c r="C152" s="24">
        <v>215</v>
      </c>
      <c r="D152" s="23">
        <v>3</v>
      </c>
      <c r="E152" s="23" t="s">
        <v>340</v>
      </c>
      <c r="F152" s="27" t="s">
        <v>507</v>
      </c>
      <c r="G152" s="23" t="str">
        <f t="shared" si="2"/>
        <v>{_id:151, fn:'F1', args:'215', format:3, units:'тис.м3', name:'Стрийське ВУПЗГ.ПСГ Угерське.Qвтв ВОГ'},</v>
      </c>
    </row>
    <row r="153" spans="1:7" x14ac:dyDescent="0.25">
      <c r="A153" s="23">
        <v>152</v>
      </c>
      <c r="B153" s="23" t="s">
        <v>326</v>
      </c>
      <c r="C153" s="24">
        <v>216</v>
      </c>
      <c r="D153" s="23">
        <v>3</v>
      </c>
      <c r="E153" s="23" t="s">
        <v>340</v>
      </c>
      <c r="F153" s="27" t="s">
        <v>508</v>
      </c>
      <c r="G153" s="23" t="str">
        <f t="shared" si="2"/>
        <v>{_id:152, fn:'F1', args:'216', format:3, units:'тис.м3', name:'Стрийське ВУПЗГ.ПСГ Більче-Волиця.Qвтв ВОГ'},</v>
      </c>
    </row>
    <row r="154" spans="1:7" x14ac:dyDescent="0.25">
      <c r="A154" s="23">
        <v>153</v>
      </c>
      <c r="B154" s="23" t="s">
        <v>326</v>
      </c>
      <c r="C154" s="24">
        <v>217</v>
      </c>
      <c r="D154" s="23">
        <v>3</v>
      </c>
      <c r="E154" s="23" t="s">
        <v>340</v>
      </c>
      <c r="F154" s="27" t="s">
        <v>509</v>
      </c>
      <c r="G154" s="23" t="str">
        <f t="shared" si="2"/>
        <v>{_id:153, fn:'F1', args:'217', format:3, units:'тис.м3', name:'Пролетарське ВУПЗГ.ПСГ Пролетарське.Qвтв ВОГ'},</v>
      </c>
    </row>
    <row r="155" spans="1:7" x14ac:dyDescent="0.25">
      <c r="A155" s="23">
        <v>154</v>
      </c>
      <c r="B155" s="23" t="s">
        <v>326</v>
      </c>
      <c r="C155" s="24">
        <v>218</v>
      </c>
      <c r="D155" s="23">
        <v>3</v>
      </c>
      <c r="E155" s="23" t="s">
        <v>340</v>
      </c>
      <c r="F155" s="27" t="s">
        <v>510</v>
      </c>
      <c r="G155" s="23" t="str">
        <f t="shared" si="2"/>
        <v>{_id:154, fn:'F1', args:'218', format:3, units:'тис.м3', name:'Пролетарське ВУПЗГ.ПСГ Кегичівське.Qвтв ВОГ'},</v>
      </c>
    </row>
    <row r="156" spans="1:7" x14ac:dyDescent="0.25">
      <c r="A156" s="23">
        <v>155</v>
      </c>
      <c r="B156" s="23" t="s">
        <v>326</v>
      </c>
      <c r="C156" s="24">
        <v>219</v>
      </c>
      <c r="D156" s="23">
        <v>3</v>
      </c>
      <c r="E156" s="23" t="s">
        <v>340</v>
      </c>
      <c r="F156" s="27" t="s">
        <v>511</v>
      </c>
      <c r="G156" s="23" t="str">
        <f t="shared" si="2"/>
        <v>{_id:155, fn:'F1', args:'219', format:3, units:'тис.м3', name:'Пролетарське ВУПЗГ.ПСГ Краснопопівське.Qвтв ВОГ'},</v>
      </c>
    </row>
    <row r="157" spans="1:7" s="38" customFormat="1" x14ac:dyDescent="0.25">
      <c r="A157" s="35">
        <v>156</v>
      </c>
      <c r="B157" s="38" t="s">
        <v>575</v>
      </c>
      <c r="C157" s="39" t="s">
        <v>577</v>
      </c>
      <c r="D157" s="38">
        <v>3</v>
      </c>
      <c r="F157" s="40" t="s">
        <v>811</v>
      </c>
      <c r="G157" s="23" t="str">
        <f t="shared" si="2"/>
        <v>{_id:156, fn:'F5_1', args:'1;РОЗБАЛАНС*;157;158;159;160;161;162;163;164;165;166;167;168;169;170;171;172;173;174;175;176;177;178', format:3, units:'', name:'Отчет.Добові дані Контроль розбалансу итог'},</v>
      </c>
    </row>
    <row r="158" spans="1:7" s="38" customFormat="1" x14ac:dyDescent="0.25">
      <c r="A158" s="35">
        <v>157</v>
      </c>
      <c r="B158" s="38" t="s">
        <v>576</v>
      </c>
      <c r="C158" s="39" t="s">
        <v>553</v>
      </c>
      <c r="D158" s="38">
        <v>3</v>
      </c>
      <c r="F158" s="40" t="s">
        <v>812</v>
      </c>
      <c r="G158" s="23" t="str">
        <f t="shared" si="2"/>
        <v>{_id:157, fn:'F5_2', args:'2;Богородчанське ПСГ, отбор;15', format:3, units:'', name:'Отчет.Добові дані Контроль розбалансу стока 1'},</v>
      </c>
    </row>
    <row r="159" spans="1:7" s="38" customFormat="1" x14ac:dyDescent="0.25">
      <c r="A159" s="35">
        <v>158</v>
      </c>
      <c r="B159" s="38" t="s">
        <v>576</v>
      </c>
      <c r="C159" s="39" t="s">
        <v>554</v>
      </c>
      <c r="D159" s="38">
        <v>3</v>
      </c>
      <c r="F159" s="40" t="s">
        <v>813</v>
      </c>
      <c r="G159" s="23" t="str">
        <f t="shared" si="2"/>
        <v>{_id:158, fn:'F5_2', args:'3;Богородчанське ПСГ, закачка;27', format:3, units:'', name:'Отчет.Добові дані Контроль розбалансу стока 2'},</v>
      </c>
    </row>
    <row r="160" spans="1:7" s="38" customFormat="1" x14ac:dyDescent="0.25">
      <c r="A160" s="35">
        <v>159</v>
      </c>
      <c r="B160" s="38" t="s">
        <v>576</v>
      </c>
      <c r="C160" s="39" t="s">
        <v>555</v>
      </c>
      <c r="D160" s="38">
        <v>3</v>
      </c>
      <c r="F160" s="40" t="s">
        <v>814</v>
      </c>
      <c r="G160" s="23" t="str">
        <f t="shared" si="2"/>
        <v>{_id:159, fn:'F5_2', args:'4;Дашавське ПСГ, отбор;16', format:3, units:'', name:'Отчет.Добові дані Контроль розбалансу стока 3'},</v>
      </c>
    </row>
    <row r="161" spans="1:7" s="38" customFormat="1" x14ac:dyDescent="0.25">
      <c r="A161" s="35">
        <v>160</v>
      </c>
      <c r="B161" s="38" t="s">
        <v>576</v>
      </c>
      <c r="C161" s="39" t="s">
        <v>556</v>
      </c>
      <c r="D161" s="38">
        <v>3</v>
      </c>
      <c r="F161" s="40" t="s">
        <v>815</v>
      </c>
      <c r="G161" s="23" t="str">
        <f t="shared" si="2"/>
        <v>{_id:160, fn:'F5_2', args:'5;Дашавське ПСГ, закачка;28', format:3, units:'', name:'Отчет.Добові дані Контроль розбалансу стока 4'},</v>
      </c>
    </row>
    <row r="162" spans="1:7" s="38" customFormat="1" x14ac:dyDescent="0.25">
      <c r="A162" s="35">
        <v>161</v>
      </c>
      <c r="B162" s="38" t="s">
        <v>576</v>
      </c>
      <c r="C162" s="39" t="s">
        <v>557</v>
      </c>
      <c r="D162" s="38">
        <v>3</v>
      </c>
      <c r="F162" s="40" t="s">
        <v>816</v>
      </c>
      <c r="G162" s="23" t="str">
        <f t="shared" si="2"/>
        <v>{_id:161, fn:'F5_2', args:'6;Опарське ПСГ, отбор;20', format:3, units:'', name:'Отчет.Добові дані Контроль розбалансу стока 5'},</v>
      </c>
    </row>
    <row r="163" spans="1:7" s="38" customFormat="1" x14ac:dyDescent="0.25">
      <c r="A163" s="35">
        <v>162</v>
      </c>
      <c r="B163" s="38" t="s">
        <v>576</v>
      </c>
      <c r="C163" s="39" t="s">
        <v>558</v>
      </c>
      <c r="D163" s="38">
        <v>3</v>
      </c>
      <c r="F163" s="40" t="s">
        <v>817</v>
      </c>
      <c r="G163" s="23" t="str">
        <f t="shared" si="2"/>
        <v>{_id:162, fn:'F5_2', args:'7;Опарське ПСГ, закачка;32', format:3, units:'', name:'Отчет.Добові дані Контроль розбалансу стока 6'},</v>
      </c>
    </row>
    <row r="164" spans="1:7" s="38" customFormat="1" x14ac:dyDescent="0.25">
      <c r="A164" s="35">
        <v>163</v>
      </c>
      <c r="B164" s="38" t="s">
        <v>576</v>
      </c>
      <c r="C164" s="39" t="s">
        <v>559</v>
      </c>
      <c r="D164" s="38">
        <v>3</v>
      </c>
      <c r="F164" s="40" t="s">
        <v>818</v>
      </c>
      <c r="G164" s="23" t="str">
        <f t="shared" si="2"/>
        <v>{_id:163, fn:'F5_2', args:'8;Угерське ПСГ, отбор;23', format:3, units:'', name:'Отчет.Добові дані Контроль розбалансу стока 7'},</v>
      </c>
    </row>
    <row r="165" spans="1:7" s="38" customFormat="1" x14ac:dyDescent="0.25">
      <c r="A165" s="35">
        <v>164</v>
      </c>
      <c r="B165" s="38" t="s">
        <v>576</v>
      </c>
      <c r="C165" s="39" t="s">
        <v>560</v>
      </c>
      <c r="D165" s="38">
        <v>3</v>
      </c>
      <c r="F165" s="40" t="s">
        <v>819</v>
      </c>
      <c r="G165" s="23" t="str">
        <f t="shared" si="2"/>
        <v>{_id:164, fn:'F5_2', args:'9;Угерське ПСГ, закачка;35', format:3, units:'', name:'Отчет.Добові дані Контроль розбалансу стока 8'},</v>
      </c>
    </row>
    <row r="166" spans="1:7" s="38" customFormat="1" x14ac:dyDescent="0.25">
      <c r="A166" s="35">
        <v>165</v>
      </c>
      <c r="B166" s="38" t="s">
        <v>576</v>
      </c>
      <c r="C166" s="39" t="s">
        <v>561</v>
      </c>
      <c r="D166" s="38">
        <v>3</v>
      </c>
      <c r="F166" s="40" t="s">
        <v>820</v>
      </c>
      <c r="G166" s="23" t="str">
        <f t="shared" si="2"/>
        <v>{_id:165, fn:'F5_2', args:'10;Більче-Волицьке ПСГ, отбор;25', format:3, units:'', name:'Отчет.Добові дані Контроль розбалансу стока 9'},</v>
      </c>
    </row>
    <row r="167" spans="1:7" s="38" customFormat="1" x14ac:dyDescent="0.25">
      <c r="A167" s="35">
        <v>166</v>
      </c>
      <c r="B167" s="38" t="s">
        <v>576</v>
      </c>
      <c r="C167" s="39" t="s">
        <v>562</v>
      </c>
      <c r="D167" s="38">
        <v>3</v>
      </c>
      <c r="F167" s="40" t="s">
        <v>821</v>
      </c>
      <c r="G167" s="23" t="str">
        <f t="shared" si="2"/>
        <v>{_id:166, fn:'F5_2', args:'11;Більче-Волицьке ПСГ, закачка;37', format:3, units:'', name:'Отчет.Добові дані Контроль розбалансу стока 10'},</v>
      </c>
    </row>
    <row r="168" spans="1:7" s="38" customFormat="1" x14ac:dyDescent="0.25">
      <c r="A168" s="35">
        <v>167</v>
      </c>
      <c r="B168" s="38" t="s">
        <v>576</v>
      </c>
      <c r="C168" s="39" t="s">
        <v>563</v>
      </c>
      <c r="D168" s="38">
        <v>3</v>
      </c>
      <c r="F168" s="40" t="s">
        <v>822</v>
      </c>
      <c r="G168" s="23" t="str">
        <f t="shared" si="2"/>
        <v>{_id:167, fn:'F5_2', args:'12;Краснопопівське ПСГ, отбор;21', format:3, units:'', name:'Отчет.Добові дані Контроль розбалансу стока 11'},</v>
      </c>
    </row>
    <row r="169" spans="1:7" s="38" customFormat="1" x14ac:dyDescent="0.25">
      <c r="A169" s="35">
        <v>168</v>
      </c>
      <c r="B169" s="38" t="s">
        <v>576</v>
      </c>
      <c r="C169" s="39" t="s">
        <v>564</v>
      </c>
      <c r="D169" s="38">
        <v>3</v>
      </c>
      <c r="F169" s="40" t="s">
        <v>823</v>
      </c>
      <c r="G169" s="23" t="str">
        <f t="shared" si="2"/>
        <v>{_id:168, fn:'F5_2', args:'13;Краснопопівське ПСГ, закачка;33', format:3, units:'', name:'Отчет.Добові дані Контроль розбалансу стока 12'},</v>
      </c>
    </row>
    <row r="170" spans="1:7" s="38" customFormat="1" x14ac:dyDescent="0.25">
      <c r="A170" s="35">
        <v>169</v>
      </c>
      <c r="B170" s="38" t="s">
        <v>576</v>
      </c>
      <c r="C170" s="39" t="s">
        <v>565</v>
      </c>
      <c r="D170" s="38">
        <v>3</v>
      </c>
      <c r="F170" s="40" t="s">
        <v>824</v>
      </c>
      <c r="G170" s="23" t="str">
        <f t="shared" si="2"/>
        <v>{_id:169, fn:'F5_2', args:'14;Пролетарське ПСГ, отбор;22', format:3, units:'', name:'Отчет.Добові дані Контроль розбалансу стока 13'},</v>
      </c>
    </row>
    <row r="171" spans="1:7" s="38" customFormat="1" x14ac:dyDescent="0.25">
      <c r="A171" s="35">
        <v>170</v>
      </c>
      <c r="B171" s="38" t="s">
        <v>576</v>
      </c>
      <c r="C171" s="39" t="s">
        <v>566</v>
      </c>
      <c r="D171" s="38">
        <v>3</v>
      </c>
      <c r="F171" s="40" t="s">
        <v>825</v>
      </c>
      <c r="G171" s="23" t="str">
        <f t="shared" si="2"/>
        <v>{_id:170, fn:'F5_2', args:'15;Пролетарське ПСГ, закачка;34', format:3, units:'', name:'Отчет.Добові дані Контроль розбалансу стока 14'},</v>
      </c>
    </row>
    <row r="172" spans="1:7" s="38" customFormat="1" x14ac:dyDescent="0.25">
      <c r="A172" s="35">
        <v>171</v>
      </c>
      <c r="B172" s="38" t="s">
        <v>576</v>
      </c>
      <c r="C172" s="39" t="s">
        <v>567</v>
      </c>
      <c r="D172" s="38">
        <v>3</v>
      </c>
      <c r="F172" s="40" t="s">
        <v>826</v>
      </c>
      <c r="G172" s="23" t="str">
        <f t="shared" si="2"/>
        <v>{_id:171, fn:'F5_2', args:'16;Кегичівське ПСГ, отбор;24', format:3, units:'', name:'Отчет.Добові дані Контроль розбалансу стока 15'},</v>
      </c>
    </row>
    <row r="173" spans="1:7" s="38" customFormat="1" x14ac:dyDescent="0.25">
      <c r="A173" s="35">
        <v>172</v>
      </c>
      <c r="B173" s="38" t="s">
        <v>576</v>
      </c>
      <c r="C173" s="39" t="s">
        <v>568</v>
      </c>
      <c r="D173" s="38">
        <v>3</v>
      </c>
      <c r="F173" s="40" t="s">
        <v>827</v>
      </c>
      <c r="G173" s="23" t="str">
        <f t="shared" si="2"/>
        <v>{_id:172, fn:'F5_2', args:'17;Кегичівське ПСГ, закачка;36', format:3, units:'', name:'Отчет.Добові дані Контроль розбалансу стока 16'},</v>
      </c>
    </row>
    <row r="174" spans="1:7" s="38" customFormat="1" x14ac:dyDescent="0.25">
      <c r="A174" s="35">
        <v>173</v>
      </c>
      <c r="B174" s="38" t="s">
        <v>576</v>
      </c>
      <c r="C174" s="39" t="s">
        <v>569</v>
      </c>
      <c r="D174" s="38">
        <v>3</v>
      </c>
      <c r="F174" s="40" t="s">
        <v>828</v>
      </c>
      <c r="G174" s="23" t="str">
        <f t="shared" si="2"/>
        <v>{_id:173, fn:'F5_2', args:'18;Мринське ПСГ, отбор;17', format:3, units:'', name:'Отчет.Добові дані Контроль розбалансу стока 17'},</v>
      </c>
    </row>
    <row r="175" spans="1:7" s="38" customFormat="1" x14ac:dyDescent="0.25">
      <c r="A175" s="35">
        <v>174</v>
      </c>
      <c r="B175" s="38" t="s">
        <v>576</v>
      </c>
      <c r="C175" s="39" t="s">
        <v>570</v>
      </c>
      <c r="D175" s="38">
        <v>3</v>
      </c>
      <c r="F175" s="40" t="s">
        <v>829</v>
      </c>
      <c r="G175" s="23" t="str">
        <f t="shared" si="2"/>
        <v>{_id:174, fn:'F5_2', args:'19;Мринське ПСГ, закачка;29', format:3, units:'', name:'Отчет.Добові дані Контроль розбалансу стока 18'},</v>
      </c>
    </row>
    <row r="176" spans="1:7" s="38" customFormat="1" x14ac:dyDescent="0.25">
      <c r="A176" s="35">
        <v>175</v>
      </c>
      <c r="B176" s="38" t="s">
        <v>576</v>
      </c>
      <c r="C176" s="39" t="s">
        <v>571</v>
      </c>
      <c r="D176" s="38">
        <v>3</v>
      </c>
      <c r="F176" s="40" t="s">
        <v>830</v>
      </c>
      <c r="G176" s="23" t="str">
        <f t="shared" si="2"/>
        <v>{_id:175, fn:'F5_2', args:'20;Олишівське ПСГ, отбор;18', format:3, units:'', name:'Отчет.Добові дані Контроль розбалансу стока 19'},</v>
      </c>
    </row>
    <row r="177" spans="1:7" s="38" customFormat="1" x14ac:dyDescent="0.25">
      <c r="A177" s="35">
        <v>176</v>
      </c>
      <c r="B177" s="38" t="s">
        <v>576</v>
      </c>
      <c r="C177" s="39" t="s">
        <v>572</v>
      </c>
      <c r="D177" s="38">
        <v>3</v>
      </c>
      <c r="F177" s="40" t="s">
        <v>831</v>
      </c>
      <c r="G177" s="23" t="str">
        <f t="shared" si="2"/>
        <v>{_id:176, fn:'F5_2', args:'21;Олишівське ПСГ, закачка;30', format:3, units:'', name:'Отчет.Добові дані Контроль розбалансу стока 20'},</v>
      </c>
    </row>
    <row r="178" spans="1:7" s="38" customFormat="1" x14ac:dyDescent="0.25">
      <c r="A178" s="35">
        <v>177</v>
      </c>
      <c r="B178" s="38" t="s">
        <v>576</v>
      </c>
      <c r="C178" s="39" t="s">
        <v>573</v>
      </c>
      <c r="D178" s="38">
        <v>3</v>
      </c>
      <c r="F178" s="40" t="s">
        <v>832</v>
      </c>
      <c r="G178" s="23" t="str">
        <f t="shared" si="2"/>
        <v>{_id:177, fn:'F5_2', args:'22;Солохівське ПСГ, отбор;19', format:3, units:'', name:'Отчет.Добові дані Контроль розбалансу стока 21'},</v>
      </c>
    </row>
    <row r="179" spans="1:7" s="38" customFormat="1" x14ac:dyDescent="0.25">
      <c r="A179" s="35">
        <v>178</v>
      </c>
      <c r="B179" s="38" t="s">
        <v>576</v>
      </c>
      <c r="C179" s="39" t="s">
        <v>574</v>
      </c>
      <c r="D179" s="38">
        <v>3</v>
      </c>
      <c r="F179" s="40" t="s">
        <v>833</v>
      </c>
      <c r="G179" s="23" t="str">
        <f t="shared" si="2"/>
        <v>{_id:178, fn:'F5_2', args:'23;Солохівське ПСГ, закачка;31', format:3, units:'', name:'Отчет.Добові дані Контроль розбалансу стока 22'},</v>
      </c>
    </row>
    <row r="180" spans="1:7" s="44" customFormat="1" x14ac:dyDescent="0.25">
      <c r="A180" s="26">
        <v>179</v>
      </c>
      <c r="B180" s="44" t="s">
        <v>326</v>
      </c>
      <c r="C180" s="24" t="s">
        <v>621</v>
      </c>
      <c r="D180" s="23">
        <v>1</v>
      </c>
      <c r="E180" s="26" t="s">
        <v>425</v>
      </c>
      <c r="F180" s="17" t="s">
        <v>587</v>
      </c>
      <c r="G180" s="23" t="str">
        <f t="shared" si="2"/>
        <v>{_id:179, fn:'F1', args:'109', format:1, units:'кгс/см2', name:'ПСГ Мрин.Р ВОГ'},</v>
      </c>
    </row>
    <row r="181" spans="1:7" x14ac:dyDescent="0.25">
      <c r="A181" s="26">
        <v>180</v>
      </c>
      <c r="B181" s="44" t="s">
        <v>326</v>
      </c>
      <c r="C181" s="24">
        <v>126</v>
      </c>
      <c r="D181" s="23">
        <v>1</v>
      </c>
      <c r="E181" s="26" t="s">
        <v>425</v>
      </c>
      <c r="F181" s="17" t="s">
        <v>578</v>
      </c>
      <c r="G181" s="23" t="str">
        <f t="shared" si="2"/>
        <v>{_id:180, fn:'F1', args:'126', format:1, units:'кгс/см2', name:'ПСГ Солоха.Р ВОГ'},</v>
      </c>
    </row>
    <row r="182" spans="1:7" x14ac:dyDescent="0.25">
      <c r="A182" s="26">
        <v>181</v>
      </c>
      <c r="B182" s="44" t="s">
        <v>326</v>
      </c>
      <c r="C182" s="24">
        <v>127</v>
      </c>
      <c r="D182" s="23">
        <v>1</v>
      </c>
      <c r="E182" s="26" t="s">
        <v>425</v>
      </c>
      <c r="F182" s="17" t="s">
        <v>579</v>
      </c>
      <c r="G182" s="23" t="str">
        <f t="shared" si="2"/>
        <v>{_id:181, fn:'F1', args:'127', format:1, units:'кгс/см2', name:'ПСГ Олишівка.Р ВОГ'},</v>
      </c>
    </row>
    <row r="183" spans="1:7" x14ac:dyDescent="0.25">
      <c r="A183" s="26">
        <v>182</v>
      </c>
      <c r="B183" s="44" t="s">
        <v>326</v>
      </c>
      <c r="C183" s="24">
        <v>128</v>
      </c>
      <c r="D183" s="23">
        <v>1</v>
      </c>
      <c r="E183" s="26" t="s">
        <v>425</v>
      </c>
      <c r="F183" s="17" t="s">
        <v>580</v>
      </c>
      <c r="G183" s="23" t="str">
        <f t="shared" si="2"/>
        <v>{_id:182, fn:'F1', args:'128', format:1, units:'кгс/см2', name:'ПСГ Богородчани.Р ВОГ'},</v>
      </c>
    </row>
    <row r="184" spans="1:7" x14ac:dyDescent="0.25">
      <c r="A184" s="26">
        <v>183</v>
      </c>
      <c r="B184" s="44" t="s">
        <v>326</v>
      </c>
      <c r="C184" s="24">
        <v>129</v>
      </c>
      <c r="D184" s="23">
        <v>1</v>
      </c>
      <c r="E184" s="26" t="s">
        <v>425</v>
      </c>
      <c r="F184" s="17" t="s">
        <v>581</v>
      </c>
      <c r="G184" s="23" t="str">
        <f t="shared" si="2"/>
        <v>{_id:183, fn:'F1', args:'129', format:1, units:'кгс/см2', name:'ПСГ Опарське.Р ВОГ'},</v>
      </c>
    </row>
    <row r="185" spans="1:7" x14ac:dyDescent="0.25">
      <c r="A185" s="26">
        <v>184</v>
      </c>
      <c r="B185" s="44" t="s">
        <v>326</v>
      </c>
      <c r="C185" s="24">
        <v>130</v>
      </c>
      <c r="D185" s="23">
        <v>1</v>
      </c>
      <c r="E185" s="26" t="s">
        <v>425</v>
      </c>
      <c r="F185" s="17" t="s">
        <v>582</v>
      </c>
      <c r="G185" s="23" t="str">
        <f t="shared" si="2"/>
        <v>{_id:184, fn:'F1', args:'130', format:1, units:'кгс/см2', name:'ПСГ Дашавське.Р ВОГ'},</v>
      </c>
    </row>
    <row r="186" spans="1:7" x14ac:dyDescent="0.25">
      <c r="A186" s="26">
        <v>185</v>
      </c>
      <c r="B186" s="44" t="s">
        <v>326</v>
      </c>
      <c r="C186" s="24">
        <v>131</v>
      </c>
      <c r="D186" s="23">
        <v>1</v>
      </c>
      <c r="E186" s="26" t="s">
        <v>425</v>
      </c>
      <c r="F186" s="17" t="s">
        <v>583</v>
      </c>
      <c r="G186" s="23" t="str">
        <f t="shared" si="2"/>
        <v>{_id:185, fn:'F1', args:'131', format:1, units:'кгс/см2', name:'ПСГ Угерське.Р ВОГ'},</v>
      </c>
    </row>
    <row r="187" spans="1:7" x14ac:dyDescent="0.25">
      <c r="A187" s="26">
        <v>186</v>
      </c>
      <c r="B187" s="44" t="s">
        <v>326</v>
      </c>
      <c r="C187" s="24">
        <v>132</v>
      </c>
      <c r="D187" s="23">
        <v>1</v>
      </c>
      <c r="E187" s="26" t="s">
        <v>425</v>
      </c>
      <c r="F187" s="17" t="s">
        <v>584</v>
      </c>
      <c r="G187" s="23" t="str">
        <f t="shared" si="2"/>
        <v>{_id:186, fn:'F1', args:'132', format:1, units:'кгс/см2', name:'ПСГ Пролетарське.Р ВОГ'},</v>
      </c>
    </row>
    <row r="188" spans="1:7" x14ac:dyDescent="0.25">
      <c r="A188" s="26">
        <v>187</v>
      </c>
      <c r="B188" s="44" t="s">
        <v>326</v>
      </c>
      <c r="C188" s="24">
        <v>133</v>
      </c>
      <c r="D188" s="23">
        <v>1</v>
      </c>
      <c r="E188" s="26" t="s">
        <v>425</v>
      </c>
      <c r="F188" s="17" t="s">
        <v>585</v>
      </c>
      <c r="G188" s="23" t="str">
        <f t="shared" si="2"/>
        <v>{_id:187, fn:'F1', args:'133', format:1, units:'кгс/см2', name:'ПСГ Кегичівське.Р ВОГ'},</v>
      </c>
    </row>
    <row r="189" spans="1:7" x14ac:dyDescent="0.25">
      <c r="A189" s="26">
        <v>188</v>
      </c>
      <c r="B189" s="44" t="s">
        <v>326</v>
      </c>
      <c r="C189" s="24">
        <v>134</v>
      </c>
      <c r="D189" s="23">
        <v>1</v>
      </c>
      <c r="E189" s="26" t="s">
        <v>425</v>
      </c>
      <c r="F189" s="17" t="s">
        <v>586</v>
      </c>
      <c r="G189" s="23" t="str">
        <f t="shared" si="2"/>
        <v>{_id:188, fn:'F1', args:'134', format:1, units:'кгс/см2', name:'ПСГ Краснопопівське.Р ВОГ'},</v>
      </c>
    </row>
    <row r="190" spans="1:7" x14ac:dyDescent="0.25">
      <c r="A190" s="26">
        <v>189</v>
      </c>
      <c r="B190" s="44" t="s">
        <v>326</v>
      </c>
      <c r="C190" s="24" t="s">
        <v>622</v>
      </c>
      <c r="D190" s="23">
        <v>1</v>
      </c>
      <c r="E190" s="26" t="s">
        <v>425</v>
      </c>
      <c r="F190" s="17" t="s">
        <v>588</v>
      </c>
      <c r="G190" s="23" t="str">
        <f t="shared" si="2"/>
        <v>{_id:189, fn:'F1', args:'103', format:1, units:'кгс/см2', name:'ПСГ Більче-Волиця.Р ВОГ 5.5'},</v>
      </c>
    </row>
    <row r="191" spans="1:7" x14ac:dyDescent="0.25">
      <c r="A191" s="26">
        <v>190</v>
      </c>
      <c r="B191" s="44" t="s">
        <v>326</v>
      </c>
      <c r="C191" s="24" t="s">
        <v>623</v>
      </c>
      <c r="D191" s="23">
        <v>1</v>
      </c>
      <c r="E191" s="26" t="s">
        <v>425</v>
      </c>
      <c r="F191" s="17" t="s">
        <v>589</v>
      </c>
      <c r="G191" s="23" t="str">
        <f t="shared" si="2"/>
        <v>{_id:190, fn:'F1', args:'104', format:1, units:'кгс/см2', name:'ПСГ Більче-Волиця.Р ВОГ 7.5'},</v>
      </c>
    </row>
    <row r="192" spans="1:7" x14ac:dyDescent="0.25">
      <c r="A192" s="26">
        <v>191</v>
      </c>
      <c r="B192" s="44" t="s">
        <v>326</v>
      </c>
      <c r="C192" s="24" t="s">
        <v>624</v>
      </c>
      <c r="D192" s="23">
        <v>1</v>
      </c>
      <c r="E192" s="26" t="s">
        <v>425</v>
      </c>
      <c r="F192" s="27" t="s">
        <v>590</v>
      </c>
      <c r="G192" s="23" t="str">
        <f t="shared" si="2"/>
        <v>{_id:191, fn:'F1', args:'101', format:1, units:'кгс/см2', name:'Опарське ВУПЗГ.ПСГ Опарське.ДКС-2 Опари.Рвх КС'},</v>
      </c>
    </row>
    <row r="193" spans="1:7" x14ac:dyDescent="0.25">
      <c r="A193" s="26">
        <v>192</v>
      </c>
      <c r="B193" s="44" t="s">
        <v>326</v>
      </c>
      <c r="C193" s="24" t="s">
        <v>625</v>
      </c>
      <c r="D193" s="23">
        <v>1</v>
      </c>
      <c r="E193" s="26" t="s">
        <v>425</v>
      </c>
      <c r="F193" s="27" t="s">
        <v>592</v>
      </c>
      <c r="G193" s="23" t="str">
        <f t="shared" si="2"/>
        <v>{_id:192, fn:'F1', args:'102', format:1, units:'кгс/см2', name:'Опарське ВУПЗГ.ПСГ Опарське.ДКС-2 Опари.Рвих КС'},</v>
      </c>
    </row>
    <row r="194" spans="1:7" x14ac:dyDescent="0.25">
      <c r="A194" s="26">
        <v>193</v>
      </c>
      <c r="B194" s="44" t="s">
        <v>326</v>
      </c>
      <c r="C194" s="24" t="s">
        <v>805</v>
      </c>
      <c r="D194" s="23">
        <v>2</v>
      </c>
      <c r="E194" s="26"/>
      <c r="F194" s="27" t="s">
        <v>591</v>
      </c>
      <c r="G194" s="23" t="str">
        <f t="shared" si="2"/>
        <v>{_id:193, fn:'F1', args:'192;191', format:2, units:'', name:'Опарське ВУПЗГ.ПСГ Опарське.ДКС-2 Опари.ст стиснення'},</v>
      </c>
    </row>
    <row r="195" spans="1:7" x14ac:dyDescent="0.25">
      <c r="A195" s="23">
        <v>194</v>
      </c>
      <c r="B195" s="23" t="s">
        <v>399</v>
      </c>
      <c r="C195" s="24" t="s">
        <v>593</v>
      </c>
      <c r="D195" s="23">
        <v>0</v>
      </c>
      <c r="E195" s="26" t="s">
        <v>426</v>
      </c>
      <c r="F195" s="27" t="s">
        <v>594</v>
      </c>
      <c r="G195" s="23" t="str">
        <f t="shared" ref="G195:G200" si="3">CONCATENATE("{_id:",A195,", fn:'",B195,"', args:'",C195,"', format:",D195,", units:'",E195,"', name:'",F195,"'},")</f>
        <v>{_id:194, fn:'F2', args:'110;111;112;113', format:0, units:'од', name:'Стрийське ВУПЗГ.ПСГ Більче-Волиця.К-сть свердловин'},</v>
      </c>
    </row>
    <row r="196" spans="1:7" x14ac:dyDescent="0.25">
      <c r="A196" s="23">
        <v>195</v>
      </c>
      <c r="B196" s="23" t="s">
        <v>399</v>
      </c>
      <c r="C196" s="24" t="s">
        <v>596</v>
      </c>
      <c r="D196" s="23">
        <v>3</v>
      </c>
      <c r="E196" s="23" t="s">
        <v>340</v>
      </c>
      <c r="F196" s="27" t="s">
        <v>595</v>
      </c>
      <c r="G196" s="23" t="str">
        <f t="shared" si="3"/>
        <v>{_id:195, fn:'F2', args:'145;146;147;148;149;150;151;152;153;154;155', format:3, units:'тис.м3', name:'ПАТ УТГ .Qвтв ВОГ'},</v>
      </c>
    </row>
    <row r="197" spans="1:7" s="38" customFormat="1" x14ac:dyDescent="0.25">
      <c r="A197" s="35">
        <v>196</v>
      </c>
      <c r="B197" s="35" t="s">
        <v>834</v>
      </c>
      <c r="C197" s="39" t="s">
        <v>801</v>
      </c>
      <c r="D197" s="35">
        <v>3</v>
      </c>
      <c r="E197" s="35"/>
      <c r="F197" s="47" t="s">
        <v>806</v>
      </c>
      <c r="G197" s="35" t="str">
        <f t="shared" si="3"/>
        <v>{_id:196, fn:'F6', args:';38.0;26.0;75.0;59.0;91.0;132.0;27.0;15.0;106.0;76.0;60.0;92.0;133.0;191.0;192.0;193.0;134.0;32.0;20.0;107.0;77.0;61.0;93.0;135.0;28.0;16.0;108.0;78.0;62.0;94.0;136.0;35.0;23.0;109.0;189.0;11.0;190.0;12.0;79.0;63.0;95.0;137.0;80.0;64.0;96.0;138.0;81.0;65.0;97.0;139.0;82.0;66.0;98.0;140.0;83.0;67.0;99.0;141.0;37.0;25.0;194.0;51.0;43.0;47.0;110.0;52.0;44.0;48.0;111.0;53.0;45.0;49.0;112.0;54.0;46.0;50.0;113.0;71.0;55.0;87.0;128.0;72.0;56.0;88.0;129.0;29.0;17.0;103.0;73.0;57.0;89.0;130.0;31.0;19.0;104.0;74.0;58.0;90.0;131.0;30.0;18.0;105.0;84.0;68.0;100.0;142.0;34.0;22.0;114.0;85.0;69.0;101.0;143.0;36.0;24.0;115.0;86.0;70.0;102.0;144.0;33.0;21.0;116.0', format:3, units:'', name:'Отчет.ПАТ УТГ.Режим '},</v>
      </c>
    </row>
    <row r="198" spans="1:7" s="38" customFormat="1" x14ac:dyDescent="0.25">
      <c r="A198" s="35">
        <v>197</v>
      </c>
      <c r="B198" s="35" t="s">
        <v>834</v>
      </c>
      <c r="C198" s="39" t="s">
        <v>802</v>
      </c>
      <c r="D198" s="35">
        <v>1</v>
      </c>
      <c r="F198" s="47" t="s">
        <v>807</v>
      </c>
      <c r="G198" s="35" t="str">
        <f t="shared" si="3"/>
        <v>{_id:197, fn:'F6', args:';38.1;26.1;75.2;59.2;91.2;132.5;27.1;15.1;106.5;76.2;60.2;92.2;133.5;191.2;192.2;193.2;134.5;32.1;20.1;107.5;77.2;61.2;93.2;135.5;28.1;16.1;108.5;78.2;62.2;94.2;136.5;35.1;23.1;109.5;189.2;11.1;190.2;12.1;79.2;63.2;95.2;137.5;80.2;64.2;96.2;138.5;81.2;65.2;97.2;139.5;82.2;66.2;98.2;140.5;83.2;67.2;99.2;141.5;37.1;25.1;194.5;51.2;43.1;47.1;110.5;52.2;44.1;48.1;111.5;53.2;45.1;49.1;112.5;54.2;46.1;50.1;113.5;71.2;55.2;87.2;128.5;72.2;56.2;88.2;129.5;29.1;17.1;103.5;73.2;57.2;89.2;130.5;31.1;19.1;104.5;74.2;58.2;90.2;131.5;30.1;18.1;105.5;84.2;68.2;100.2;142.5;34.1;22.1;114.5;85.2;69.2;101.2;143.5;36.1;24.1;115.5;86.2;70.2;102.2;144.5;33.1;21.1;116.5', format:1, units:'', name:'Отчет.ПАТ УТГ.Режим footer'},</v>
      </c>
    </row>
    <row r="199" spans="1:7" s="38" customFormat="1" x14ac:dyDescent="0.25">
      <c r="A199" s="35">
        <v>198</v>
      </c>
      <c r="B199" s="35" t="s">
        <v>834</v>
      </c>
      <c r="C199" s="39" t="s">
        <v>803</v>
      </c>
      <c r="D199" s="35">
        <v>1</v>
      </c>
      <c r="F199" s="47" t="s">
        <v>808</v>
      </c>
      <c r="G199" s="35" t="str">
        <f t="shared" si="3"/>
        <v>{_id:198, fn:'F6', args:';26.0;38.0;195.0;3.0;17.0;29.0;145.0;;;4.0;18.0;30.0;147.0;;;5.0;19.0;31.0;146.0;;;8.0;22.0;34.0;153.0;;;10.0;24.0;36.0;154.0;;;7.0;21.0;33.0;155.0;;;1.0;15.0;27.0;148.0;;;2.0;16.0;28.0;150.0;;;6.0;20.0;32.0;149.0;;;9.0;23.0;35.0;151.0;;;13.0;11.0;12.0;25.0;37.0;152.0;;', format:1, units:'', name:'Отчет.ПАТ УТГ.Панорама'},</v>
      </c>
    </row>
    <row r="200" spans="1:7" s="38" customFormat="1" x14ac:dyDescent="0.25">
      <c r="A200" s="35">
        <v>199</v>
      </c>
      <c r="B200" s="35" t="s">
        <v>834</v>
      </c>
      <c r="C200" s="39" t="s">
        <v>804</v>
      </c>
      <c r="D200" s="35">
        <v>1</v>
      </c>
      <c r="F200" s="47" t="s">
        <v>809</v>
      </c>
      <c r="G200" s="35" t="str">
        <f t="shared" si="3"/>
        <v>{_id:199, fn:'F6', args:';26.1;38.1;195.1;3.1;17.1;29.1;145.1;;;4.1;18.1;30.1;147.1;;;5.1;19.1;31.1;146.1;;;8.1;22.1;34.1;153.1;;;10.1;24.1;36.1;154.1;;;7.1;21.1;33.1;155.1;;;1.1;15.1;27.1;148.1;;;2.1;16.1;28.1;150.1;;;6.1;20.1;32.1;149.1;;;9.1;23.1;35.1;151.1;;;13.1;11.1;12.1;25.1;37.1;152.1;;', format:1, units:'', name:'Отчет.ПАТ УТГ.Панорама footer'},</v>
      </c>
    </row>
    <row r="201" spans="1:7" x14ac:dyDescent="0.25">
      <c r="A201" s="23">
        <v>200</v>
      </c>
    </row>
    <row r="202" spans="1:7" x14ac:dyDescent="0.25">
      <c r="A202" s="23">
        <v>201</v>
      </c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G31" sqref="G31"/>
    </sheetView>
  </sheetViews>
  <sheetFormatPr defaultRowHeight="15" x14ac:dyDescent="0.25"/>
  <cols>
    <col min="1" max="1" width="5" style="12" customWidth="1"/>
    <col min="2" max="2" width="4.7109375" style="12" customWidth="1"/>
    <col min="3" max="3" width="6" bestFit="1" customWidth="1"/>
    <col min="4" max="4" width="7" customWidth="1"/>
    <col min="5" max="5" width="54" style="30" customWidth="1"/>
    <col min="6" max="6" width="7" bestFit="1" customWidth="1"/>
    <col min="7" max="7" width="6.85546875" bestFit="1" customWidth="1"/>
    <col min="8" max="8" width="33.85546875" bestFit="1" customWidth="1"/>
    <col min="9" max="9" width="78.28515625" bestFit="1" customWidth="1"/>
  </cols>
  <sheetData>
    <row r="1" spans="1:9" s="12" customFormat="1" x14ac:dyDescent="0.25">
      <c r="A1" s="12" t="s">
        <v>550</v>
      </c>
      <c r="B1" s="12" t="s">
        <v>549</v>
      </c>
      <c r="C1" s="21" t="s">
        <v>321</v>
      </c>
      <c r="D1" s="21" t="s">
        <v>323</v>
      </c>
      <c r="E1" s="28" t="s">
        <v>324</v>
      </c>
      <c r="F1" s="21" t="s">
        <v>325</v>
      </c>
      <c r="G1" s="21" t="s">
        <v>328</v>
      </c>
      <c r="H1" s="21" t="s">
        <v>322</v>
      </c>
      <c r="I1" s="23"/>
    </row>
    <row r="2" spans="1:9" s="12" customFormat="1" x14ac:dyDescent="0.25">
      <c r="B2" s="12">
        <v>1</v>
      </c>
      <c r="C2" s="23">
        <v>10001</v>
      </c>
      <c r="D2" s="23" t="s">
        <v>551</v>
      </c>
      <c r="E2" s="29" t="str">
        <f>CONCATENATE(B2,";",H2,";",A2)</f>
        <v>1;РОЗБАЛАНС*;</v>
      </c>
      <c r="F2" s="23">
        <v>3</v>
      </c>
      <c r="G2" s="23"/>
      <c r="H2" s="17" t="s">
        <v>548</v>
      </c>
      <c r="I2" s="23" t="str">
        <f>CONCATENATE("{_id:",C2,", fn:'",D2,"', args:'",E2,"', format:",F2,", units:'",G2,"', name:'",H2,"'},")</f>
        <v>{_id:10001, fn:'F102', args:'1;РОЗБАЛАНС*;', format:3, units:'', name:'РОЗБАЛАНС*'},</v>
      </c>
    </row>
    <row r="3" spans="1:9" s="12" customFormat="1" x14ac:dyDescent="0.25">
      <c r="A3" s="24">
        <v>15</v>
      </c>
      <c r="B3" s="12">
        <v>2</v>
      </c>
      <c r="C3" s="23">
        <v>10002</v>
      </c>
      <c r="D3" s="23" t="s">
        <v>552</v>
      </c>
      <c r="E3" s="29" t="str">
        <f t="shared" ref="E3:E24" si="0">CONCATENATE(B3,";",H3,";",A3)</f>
        <v>2;Богородчанське ПСГ, отбор;15</v>
      </c>
      <c r="F3" s="26">
        <v>3</v>
      </c>
      <c r="G3" s="23"/>
      <c r="H3" s="25" t="s">
        <v>364</v>
      </c>
      <c r="I3" s="23" t="str">
        <f>CONCATENATE("{_id:",C3,", fn:'",D3,"', args:'",E3,"', format:",F3,", units:'",G3,"', name:'",H3,"'},")</f>
        <v>{_id:10002, fn:'F103', args:'2;Богородчанське ПСГ, отбор;15', format:3, units:'', name:'Богородчанське ПСГ, отбор'},</v>
      </c>
    </row>
    <row r="4" spans="1:9" x14ac:dyDescent="0.25">
      <c r="A4" s="24">
        <v>27</v>
      </c>
      <c r="B4" s="12">
        <v>3</v>
      </c>
      <c r="C4" s="23">
        <v>10003</v>
      </c>
      <c r="D4" s="23" t="s">
        <v>552</v>
      </c>
      <c r="E4" s="29" t="str">
        <f t="shared" si="0"/>
        <v>3;Богородчанське ПСГ, закачка;27</v>
      </c>
      <c r="F4" s="26">
        <v>3</v>
      </c>
      <c r="H4" s="25" t="s">
        <v>387</v>
      </c>
      <c r="I4" s="23" t="str">
        <f t="shared" ref="I4:I24" si="1">CONCATENATE("{_id:",C4,", fn:'",D4,"', args:'",E4,"', format:",F4,", units:'",G4,"', name:'",H4,"'},")</f>
        <v>{_id:10003, fn:'F103', args:'3;Богородчанське ПСГ, закачка;27', format:3, units:'', name:'Богородчанське ПСГ, закачка'},</v>
      </c>
    </row>
    <row r="5" spans="1:9" s="12" customFormat="1" x14ac:dyDescent="0.25">
      <c r="A5" s="24">
        <v>16</v>
      </c>
      <c r="B5" s="12">
        <v>4</v>
      </c>
      <c r="C5" s="23">
        <v>10004</v>
      </c>
      <c r="D5" s="23" t="s">
        <v>552</v>
      </c>
      <c r="E5" s="29" t="str">
        <f t="shared" si="0"/>
        <v>4;Дашавське ПСГ, отбор;16</v>
      </c>
      <c r="F5" s="26">
        <v>3</v>
      </c>
      <c r="G5" s="23"/>
      <c r="H5" s="25" t="s">
        <v>365</v>
      </c>
      <c r="I5" s="23" t="str">
        <f t="shared" si="1"/>
        <v>{_id:10004, fn:'F103', args:'4;Дашавське ПСГ, отбор;16', format:3, units:'', name:'Дашавське ПСГ, отбор'},</v>
      </c>
    </row>
    <row r="6" spans="1:9" x14ac:dyDescent="0.25">
      <c r="A6" s="24">
        <v>28</v>
      </c>
      <c r="B6" s="12">
        <v>5</v>
      </c>
      <c r="C6" s="23">
        <v>10005</v>
      </c>
      <c r="D6" s="23" t="s">
        <v>552</v>
      </c>
      <c r="E6" s="29" t="str">
        <f t="shared" si="0"/>
        <v>5;Дашавське ПСГ, закачка;28</v>
      </c>
      <c r="F6" s="26">
        <v>3</v>
      </c>
      <c r="H6" s="25" t="s">
        <v>388</v>
      </c>
      <c r="I6" s="23" t="str">
        <f t="shared" si="1"/>
        <v>{_id:10005, fn:'F103', args:'5;Дашавське ПСГ, закачка;28', format:3, units:'', name:'Дашавське ПСГ, закачка'},</v>
      </c>
    </row>
    <row r="7" spans="1:9" x14ac:dyDescent="0.25">
      <c r="A7" s="24">
        <v>20</v>
      </c>
      <c r="B7" s="12">
        <v>6</v>
      </c>
      <c r="C7" s="23">
        <v>10006</v>
      </c>
      <c r="D7" s="23" t="s">
        <v>552</v>
      </c>
      <c r="E7" s="29" t="str">
        <f t="shared" si="0"/>
        <v>6;Опарське ПСГ, отбор;20</v>
      </c>
      <c r="F7" s="26">
        <v>3</v>
      </c>
      <c r="H7" s="25" t="s">
        <v>369</v>
      </c>
      <c r="I7" s="23" t="str">
        <f t="shared" si="1"/>
        <v>{_id:10006, fn:'F103', args:'6;Опарське ПСГ, отбор;20', format:3, units:'', name:'Опарське ПСГ, отбор'},</v>
      </c>
    </row>
    <row r="8" spans="1:9" x14ac:dyDescent="0.25">
      <c r="A8" s="24">
        <v>32</v>
      </c>
      <c r="B8" s="12">
        <v>7</v>
      </c>
      <c r="C8" s="23">
        <v>10007</v>
      </c>
      <c r="D8" s="23" t="s">
        <v>552</v>
      </c>
      <c r="E8" s="29" t="str">
        <f t="shared" si="0"/>
        <v>7;Опарське ПСГ, закачка;32</v>
      </c>
      <c r="F8" s="26">
        <v>3</v>
      </c>
      <c r="H8" s="25" t="s">
        <v>392</v>
      </c>
      <c r="I8" s="23" t="str">
        <f t="shared" si="1"/>
        <v>{_id:10007, fn:'F103', args:'7;Опарське ПСГ, закачка;32', format:3, units:'', name:'Опарське ПСГ, закачка'},</v>
      </c>
    </row>
    <row r="9" spans="1:9" x14ac:dyDescent="0.25">
      <c r="A9" s="24">
        <v>23</v>
      </c>
      <c r="B9" s="12">
        <v>8</v>
      </c>
      <c r="C9" s="23">
        <v>10008</v>
      </c>
      <c r="D9" s="23" t="s">
        <v>552</v>
      </c>
      <c r="E9" s="29" t="str">
        <f t="shared" si="0"/>
        <v>8;Угерське ПСГ, отбор;23</v>
      </c>
      <c r="F9" s="26">
        <v>3</v>
      </c>
      <c r="H9" s="25" t="s">
        <v>372</v>
      </c>
      <c r="I9" s="23" t="str">
        <f t="shared" si="1"/>
        <v>{_id:10008, fn:'F103', args:'8;Угерське ПСГ, отбор;23', format:3, units:'', name:'Угерське ПСГ, отбор'},</v>
      </c>
    </row>
    <row r="10" spans="1:9" x14ac:dyDescent="0.25">
      <c r="A10" s="24">
        <v>35</v>
      </c>
      <c r="B10" s="12">
        <v>9</v>
      </c>
      <c r="C10" s="23">
        <v>10009</v>
      </c>
      <c r="D10" s="23" t="s">
        <v>552</v>
      </c>
      <c r="E10" s="29" t="str">
        <f t="shared" si="0"/>
        <v>9;Угерське ПСГ, закачка;35</v>
      </c>
      <c r="F10" s="26">
        <v>3</v>
      </c>
      <c r="H10" s="25" t="s">
        <v>395</v>
      </c>
      <c r="I10" s="23" t="str">
        <f t="shared" si="1"/>
        <v>{_id:10009, fn:'F103', args:'9;Угерське ПСГ, закачка;35', format:3, units:'', name:'Угерське ПСГ, закачка'},</v>
      </c>
    </row>
    <row r="11" spans="1:9" x14ac:dyDescent="0.25">
      <c r="A11" s="24">
        <v>25</v>
      </c>
      <c r="B11" s="12">
        <v>10</v>
      </c>
      <c r="C11" s="23">
        <v>10010</v>
      </c>
      <c r="D11" s="23" t="s">
        <v>552</v>
      </c>
      <c r="E11" s="29" t="str">
        <f t="shared" si="0"/>
        <v>10;Більче-Волицьке ПСГ, отбор;25</v>
      </c>
      <c r="F11" s="26">
        <v>3</v>
      </c>
      <c r="H11" s="25" t="s">
        <v>374</v>
      </c>
      <c r="I11" s="23" t="str">
        <f t="shared" si="1"/>
        <v>{_id:10010, fn:'F103', args:'10;Більче-Волицьке ПСГ, отбор;25', format:3, units:'', name:'Більче-Волицьке ПСГ, отбор'},</v>
      </c>
    </row>
    <row r="12" spans="1:9" x14ac:dyDescent="0.25">
      <c r="A12" s="24">
        <v>37</v>
      </c>
      <c r="B12" s="12">
        <v>11</v>
      </c>
      <c r="C12" s="23">
        <v>10011</v>
      </c>
      <c r="D12" s="23" t="s">
        <v>552</v>
      </c>
      <c r="E12" s="29" t="str">
        <f t="shared" si="0"/>
        <v>11;Більче-Волицьке ПСГ, закачка;37</v>
      </c>
      <c r="F12" s="26">
        <v>3</v>
      </c>
      <c r="H12" s="25" t="s">
        <v>397</v>
      </c>
      <c r="I12" s="23" t="str">
        <f t="shared" si="1"/>
        <v>{_id:10011, fn:'F103', args:'11;Більче-Волицьке ПСГ, закачка;37', format:3, units:'', name:'Більче-Волицьке ПСГ, закачка'},</v>
      </c>
    </row>
    <row r="13" spans="1:9" x14ac:dyDescent="0.25">
      <c r="A13" s="24">
        <v>21</v>
      </c>
      <c r="B13" s="12">
        <v>12</v>
      </c>
      <c r="C13" s="23">
        <v>10012</v>
      </c>
      <c r="D13" s="23" t="s">
        <v>552</v>
      </c>
      <c r="E13" s="29" t="str">
        <f t="shared" si="0"/>
        <v>12;Краснопопівське ПСГ, отбор;21</v>
      </c>
      <c r="F13" s="26">
        <v>3</v>
      </c>
      <c r="H13" s="25" t="s">
        <v>370</v>
      </c>
      <c r="I13" s="23" t="str">
        <f t="shared" si="1"/>
        <v>{_id:10012, fn:'F103', args:'12;Краснопопівське ПСГ, отбор;21', format:3, units:'', name:'Краснопопівське ПСГ, отбор'},</v>
      </c>
    </row>
    <row r="14" spans="1:9" x14ac:dyDescent="0.25">
      <c r="A14" s="24">
        <v>33</v>
      </c>
      <c r="B14" s="12">
        <v>13</v>
      </c>
      <c r="C14" s="23">
        <v>10013</v>
      </c>
      <c r="D14" s="23" t="s">
        <v>552</v>
      </c>
      <c r="E14" s="29" t="str">
        <f t="shared" si="0"/>
        <v>13;Краснопопівське ПСГ, закачка;33</v>
      </c>
      <c r="F14" s="26">
        <v>3</v>
      </c>
      <c r="H14" s="25" t="s">
        <v>393</v>
      </c>
      <c r="I14" s="23" t="str">
        <f t="shared" si="1"/>
        <v>{_id:10013, fn:'F103', args:'13;Краснопопівське ПСГ, закачка;33', format:3, units:'', name:'Краснопопівське ПСГ, закачка'},</v>
      </c>
    </row>
    <row r="15" spans="1:9" x14ac:dyDescent="0.25">
      <c r="A15" s="24">
        <v>22</v>
      </c>
      <c r="B15" s="12">
        <v>14</v>
      </c>
      <c r="C15" s="23">
        <v>10014</v>
      </c>
      <c r="D15" s="23" t="s">
        <v>552</v>
      </c>
      <c r="E15" s="29" t="str">
        <f t="shared" si="0"/>
        <v>14;Пролетарське ПСГ, отбор;22</v>
      </c>
      <c r="F15" s="26">
        <v>3</v>
      </c>
      <c r="H15" s="25" t="s">
        <v>371</v>
      </c>
      <c r="I15" s="23" t="str">
        <f t="shared" si="1"/>
        <v>{_id:10014, fn:'F103', args:'14;Пролетарське ПСГ, отбор;22', format:3, units:'', name:'Пролетарське ПСГ, отбор'},</v>
      </c>
    </row>
    <row r="16" spans="1:9" x14ac:dyDescent="0.25">
      <c r="A16" s="24">
        <v>34</v>
      </c>
      <c r="B16" s="12">
        <v>15</v>
      </c>
      <c r="C16" s="23">
        <v>10015</v>
      </c>
      <c r="D16" s="23" t="s">
        <v>552</v>
      </c>
      <c r="E16" s="29" t="str">
        <f t="shared" si="0"/>
        <v>15;Пролетарське ПСГ, закачка;34</v>
      </c>
      <c r="F16" s="26">
        <v>3</v>
      </c>
      <c r="H16" s="25" t="s">
        <v>394</v>
      </c>
      <c r="I16" s="23" t="str">
        <f t="shared" si="1"/>
        <v>{_id:10015, fn:'F103', args:'15;Пролетарське ПСГ, закачка;34', format:3, units:'', name:'Пролетарське ПСГ, закачка'},</v>
      </c>
    </row>
    <row r="17" spans="1:9" x14ac:dyDescent="0.25">
      <c r="A17" s="24">
        <v>24</v>
      </c>
      <c r="B17" s="12">
        <v>16</v>
      </c>
      <c r="C17" s="23">
        <v>10016</v>
      </c>
      <c r="D17" s="23" t="s">
        <v>552</v>
      </c>
      <c r="E17" s="29" t="str">
        <f t="shared" si="0"/>
        <v>16;Кегичівське ПСГ, отбор;24</v>
      </c>
      <c r="F17" s="26">
        <v>3</v>
      </c>
      <c r="H17" s="25" t="s">
        <v>373</v>
      </c>
      <c r="I17" s="23" t="str">
        <f t="shared" si="1"/>
        <v>{_id:10016, fn:'F103', args:'16;Кегичівське ПСГ, отбор;24', format:3, units:'', name:'Кегичівське ПСГ, отбор'},</v>
      </c>
    </row>
    <row r="18" spans="1:9" x14ac:dyDescent="0.25">
      <c r="A18" s="24">
        <v>36</v>
      </c>
      <c r="B18" s="12">
        <v>17</v>
      </c>
      <c r="C18" s="23">
        <v>10017</v>
      </c>
      <c r="D18" s="23" t="s">
        <v>552</v>
      </c>
      <c r="E18" s="29" t="str">
        <f t="shared" si="0"/>
        <v>17;Кегичівське ПСГ, закачка;36</v>
      </c>
      <c r="F18" s="26">
        <v>3</v>
      </c>
      <c r="H18" s="25" t="s">
        <v>396</v>
      </c>
      <c r="I18" s="23" t="str">
        <f t="shared" si="1"/>
        <v>{_id:10017, fn:'F103', args:'17;Кегичівське ПСГ, закачка;36', format:3, units:'', name:'Кегичівське ПСГ, закачка'},</v>
      </c>
    </row>
    <row r="19" spans="1:9" x14ac:dyDescent="0.25">
      <c r="A19" s="24">
        <v>17</v>
      </c>
      <c r="B19" s="12">
        <v>18</v>
      </c>
      <c r="C19" s="23">
        <v>10018</v>
      </c>
      <c r="D19" s="23" t="s">
        <v>552</v>
      </c>
      <c r="E19" s="29" t="str">
        <f t="shared" si="0"/>
        <v>18;Мринське ПСГ, отбор;17</v>
      </c>
      <c r="F19" s="26">
        <v>3</v>
      </c>
      <c r="H19" s="25" t="s">
        <v>366</v>
      </c>
      <c r="I19" s="23" t="str">
        <f t="shared" si="1"/>
        <v>{_id:10018, fn:'F103', args:'18;Мринське ПСГ, отбор;17', format:3, units:'', name:'Мринське ПСГ, отбор'},</v>
      </c>
    </row>
    <row r="20" spans="1:9" x14ac:dyDescent="0.25">
      <c r="A20" s="24">
        <v>29</v>
      </c>
      <c r="B20" s="12">
        <v>19</v>
      </c>
      <c r="C20" s="23">
        <v>10019</v>
      </c>
      <c r="D20" s="23" t="s">
        <v>552</v>
      </c>
      <c r="E20" s="29" t="str">
        <f t="shared" si="0"/>
        <v>19;Мринське ПСГ, закачка;29</v>
      </c>
      <c r="F20" s="26">
        <v>3</v>
      </c>
      <c r="H20" s="25" t="s">
        <v>389</v>
      </c>
      <c r="I20" s="23" t="str">
        <f t="shared" si="1"/>
        <v>{_id:10019, fn:'F103', args:'19;Мринське ПСГ, закачка;29', format:3, units:'', name:'Мринське ПСГ, закачка'},</v>
      </c>
    </row>
    <row r="21" spans="1:9" x14ac:dyDescent="0.25">
      <c r="A21" s="24">
        <v>18</v>
      </c>
      <c r="B21" s="12">
        <v>20</v>
      </c>
      <c r="C21" s="23">
        <v>10020</v>
      </c>
      <c r="D21" s="23" t="s">
        <v>552</v>
      </c>
      <c r="E21" s="29" t="str">
        <f t="shared" si="0"/>
        <v>20;Олишівське ПСГ, отбор;18</v>
      </c>
      <c r="F21" s="26">
        <v>3</v>
      </c>
      <c r="H21" s="25" t="s">
        <v>367</v>
      </c>
      <c r="I21" s="23" t="str">
        <f t="shared" si="1"/>
        <v>{_id:10020, fn:'F103', args:'20;Олишівське ПСГ, отбор;18', format:3, units:'', name:'Олишівське ПСГ, отбор'},</v>
      </c>
    </row>
    <row r="22" spans="1:9" x14ac:dyDescent="0.25">
      <c r="A22" s="24">
        <v>30</v>
      </c>
      <c r="B22" s="12">
        <v>21</v>
      </c>
      <c r="C22" s="23">
        <v>10021</v>
      </c>
      <c r="D22" s="23" t="s">
        <v>552</v>
      </c>
      <c r="E22" s="29" t="str">
        <f t="shared" si="0"/>
        <v>21;Олишівське ПСГ, закачка;30</v>
      </c>
      <c r="F22" s="26">
        <v>3</v>
      </c>
      <c r="H22" s="25" t="s">
        <v>390</v>
      </c>
      <c r="I22" s="23" t="str">
        <f t="shared" si="1"/>
        <v>{_id:10021, fn:'F103', args:'21;Олишівське ПСГ, закачка;30', format:3, units:'', name:'Олишівське ПСГ, закачка'},</v>
      </c>
    </row>
    <row r="23" spans="1:9" x14ac:dyDescent="0.25">
      <c r="A23" s="24">
        <v>19</v>
      </c>
      <c r="B23" s="12">
        <v>22</v>
      </c>
      <c r="C23" s="23">
        <v>10022</v>
      </c>
      <c r="D23" s="23" t="s">
        <v>552</v>
      </c>
      <c r="E23" s="29" t="str">
        <f t="shared" si="0"/>
        <v>22;Солохівське ПСГ, отбор;19</v>
      </c>
      <c r="F23" s="26">
        <v>3</v>
      </c>
      <c r="H23" s="25" t="s">
        <v>368</v>
      </c>
      <c r="I23" s="23" t="str">
        <f t="shared" si="1"/>
        <v>{_id:10022, fn:'F103', args:'22;Солохівське ПСГ, отбор;19', format:3, units:'', name:'Солохівське ПСГ, отбор'},</v>
      </c>
    </row>
    <row r="24" spans="1:9" x14ac:dyDescent="0.25">
      <c r="A24" s="24">
        <v>31</v>
      </c>
      <c r="B24" s="12">
        <v>23</v>
      </c>
      <c r="C24" s="23">
        <v>10023</v>
      </c>
      <c r="D24" s="23" t="s">
        <v>552</v>
      </c>
      <c r="E24" s="29" t="str">
        <f t="shared" si="0"/>
        <v>23;Солохівське ПСГ, закачка;31</v>
      </c>
      <c r="F24" s="26">
        <v>3</v>
      </c>
      <c r="H24" s="25" t="s">
        <v>391</v>
      </c>
      <c r="I24" s="23" t="str">
        <f t="shared" si="1"/>
        <v>{_id:10023, fn:'F103', args:'23;Солохівське ПСГ, закачка;31', format:3, units:'', name:'Солохівське ПСГ, закачка'},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25"/>
  <sheetViews>
    <sheetView zoomScale="40" zoomScaleNormal="40" workbookViewId="0">
      <selection activeCell="O26" sqref="A4:O26"/>
    </sheetView>
  </sheetViews>
  <sheetFormatPr defaultRowHeight="15" x14ac:dyDescent="0.25"/>
  <sheetData>
    <row r="1" spans="1:72" s="4" customFormat="1" x14ac:dyDescent="0.25">
      <c r="A1" s="52" t="s">
        <v>56</v>
      </c>
      <c r="B1" s="52" t="s">
        <v>71</v>
      </c>
      <c r="C1" s="52"/>
      <c r="D1" s="52"/>
      <c r="E1" s="53" t="s">
        <v>70</v>
      </c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 t="s">
        <v>69</v>
      </c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 t="s">
        <v>68</v>
      </c>
      <c r="AP1" s="52"/>
      <c r="AQ1" s="52"/>
      <c r="AR1" s="52"/>
      <c r="AS1" s="52"/>
      <c r="AT1" s="52"/>
      <c r="AU1" s="52" t="s">
        <v>67</v>
      </c>
      <c r="AV1" s="52"/>
      <c r="AW1" s="52"/>
      <c r="AX1" s="52"/>
      <c r="AY1" s="52"/>
      <c r="AZ1" s="52"/>
      <c r="BA1" s="52" t="s">
        <v>66</v>
      </c>
      <c r="BB1" s="52"/>
      <c r="BC1" s="52"/>
      <c r="BD1" s="52"/>
      <c r="BE1" s="52"/>
      <c r="BF1" s="52"/>
      <c r="BG1" s="52" t="s">
        <v>65</v>
      </c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</row>
    <row r="2" spans="1:72" s="4" customFormat="1" x14ac:dyDescent="0.25">
      <c r="A2" s="52"/>
      <c r="B2" s="5" t="s">
        <v>53</v>
      </c>
      <c r="C2" s="5" t="s">
        <v>54</v>
      </c>
      <c r="D2" s="5" t="s">
        <v>55</v>
      </c>
      <c r="E2" s="52" t="s">
        <v>34</v>
      </c>
      <c r="F2" s="52"/>
      <c r="G2" s="52"/>
      <c r="H2" s="52"/>
      <c r="I2" s="52"/>
      <c r="J2" s="52"/>
      <c r="K2" s="52" t="s">
        <v>39</v>
      </c>
      <c r="L2" s="52"/>
      <c r="M2" s="52"/>
      <c r="N2" s="52"/>
      <c r="O2" s="52"/>
      <c r="P2" s="52"/>
      <c r="Q2" s="52" t="s">
        <v>37</v>
      </c>
      <c r="R2" s="52"/>
      <c r="S2" s="52"/>
      <c r="T2" s="52"/>
      <c r="U2" s="52"/>
      <c r="V2" s="52"/>
      <c r="W2" s="52" t="s">
        <v>41</v>
      </c>
      <c r="X2" s="52"/>
      <c r="Y2" s="52"/>
      <c r="Z2" s="52"/>
      <c r="AA2" s="52"/>
      <c r="AB2" s="52"/>
      <c r="AC2" s="52" t="s">
        <v>43</v>
      </c>
      <c r="AD2" s="52"/>
      <c r="AE2" s="52"/>
      <c r="AF2" s="52"/>
      <c r="AG2" s="52"/>
      <c r="AH2" s="52"/>
      <c r="AI2" s="52" t="s">
        <v>57</v>
      </c>
      <c r="AJ2" s="52"/>
      <c r="AK2" s="52"/>
      <c r="AL2" s="52"/>
      <c r="AM2" s="52"/>
      <c r="AN2" s="52"/>
      <c r="AO2" s="52" t="s">
        <v>6</v>
      </c>
      <c r="AP2" s="52"/>
      <c r="AQ2" s="52"/>
      <c r="AR2" s="52"/>
      <c r="AS2" s="52"/>
      <c r="AT2" s="52"/>
      <c r="AU2" s="52" t="s">
        <v>58</v>
      </c>
      <c r="AV2" s="52"/>
      <c r="AW2" s="52"/>
      <c r="AX2" s="52"/>
      <c r="AY2" s="52"/>
      <c r="AZ2" s="52"/>
      <c r="BA2" s="52" t="s">
        <v>59</v>
      </c>
      <c r="BB2" s="52"/>
      <c r="BC2" s="52"/>
      <c r="BD2" s="52"/>
      <c r="BE2" s="52"/>
      <c r="BF2" s="52"/>
      <c r="BG2" s="52" t="s">
        <v>60</v>
      </c>
      <c r="BH2" s="52"/>
      <c r="BI2" s="52"/>
      <c r="BJ2" s="52"/>
      <c r="BK2" s="52"/>
      <c r="BL2" s="52"/>
      <c r="BM2" s="52" t="s">
        <v>64</v>
      </c>
      <c r="BN2" s="52"/>
      <c r="BO2" s="52"/>
      <c r="BP2" s="52"/>
      <c r="BQ2" s="52"/>
      <c r="BR2" s="52"/>
      <c r="BS2" s="52"/>
      <c r="BT2" s="52"/>
    </row>
    <row r="3" spans="1:72" s="4" customFormat="1" x14ac:dyDescent="0.25">
      <c r="A3" s="52"/>
      <c r="B3" s="5" t="s">
        <v>47</v>
      </c>
      <c r="C3" s="5" t="s">
        <v>48</v>
      </c>
      <c r="D3" s="5" t="s">
        <v>49</v>
      </c>
      <c r="E3" s="5" t="s">
        <v>50</v>
      </c>
      <c r="F3" s="5" t="s">
        <v>47</v>
      </c>
      <c r="G3" s="5" t="s">
        <v>48</v>
      </c>
      <c r="H3" s="5" t="s">
        <v>49</v>
      </c>
      <c r="I3" s="5" t="s">
        <v>51</v>
      </c>
      <c r="J3" s="5" t="s">
        <v>52</v>
      </c>
      <c r="K3" s="5" t="s">
        <v>50</v>
      </c>
      <c r="L3" s="5" t="s">
        <v>47</v>
      </c>
      <c r="M3" s="5" t="s">
        <v>48</v>
      </c>
      <c r="N3" s="5" t="s">
        <v>49</v>
      </c>
      <c r="O3" s="5" t="s">
        <v>51</v>
      </c>
      <c r="P3" s="5" t="s">
        <v>52</v>
      </c>
      <c r="Q3" s="5" t="s">
        <v>50</v>
      </c>
      <c r="R3" s="5" t="s">
        <v>47</v>
      </c>
      <c r="S3" s="5" t="s">
        <v>48</v>
      </c>
      <c r="T3" s="5" t="s">
        <v>49</v>
      </c>
      <c r="U3" s="5" t="s">
        <v>51</v>
      </c>
      <c r="V3" s="5" t="s">
        <v>52</v>
      </c>
      <c r="W3" s="5" t="s">
        <v>50</v>
      </c>
      <c r="X3" s="5" t="s">
        <v>47</v>
      </c>
      <c r="Y3" s="5" t="s">
        <v>48</v>
      </c>
      <c r="Z3" s="5" t="s">
        <v>49</v>
      </c>
      <c r="AA3" s="5" t="s">
        <v>51</v>
      </c>
      <c r="AB3" s="5" t="s">
        <v>52</v>
      </c>
      <c r="AC3" s="5" t="s">
        <v>50</v>
      </c>
      <c r="AD3" s="5" t="s">
        <v>47</v>
      </c>
      <c r="AE3" s="5" t="s">
        <v>48</v>
      </c>
      <c r="AF3" s="5" t="s">
        <v>49</v>
      </c>
      <c r="AG3" s="5" t="s">
        <v>51</v>
      </c>
      <c r="AH3" s="5" t="s">
        <v>52</v>
      </c>
      <c r="AI3" s="5" t="s">
        <v>50</v>
      </c>
      <c r="AJ3" s="5" t="s">
        <v>47</v>
      </c>
      <c r="AK3" s="5" t="s">
        <v>48</v>
      </c>
      <c r="AL3" s="5" t="s">
        <v>49</v>
      </c>
      <c r="AM3" s="5" t="s">
        <v>51</v>
      </c>
      <c r="AN3" s="5" t="s">
        <v>52</v>
      </c>
      <c r="AO3" s="5" t="s">
        <v>50</v>
      </c>
      <c r="AP3" s="5" t="s">
        <v>47</v>
      </c>
      <c r="AQ3" s="5" t="s">
        <v>48</v>
      </c>
      <c r="AR3" s="5" t="s">
        <v>49</v>
      </c>
      <c r="AS3" s="5" t="s">
        <v>51</v>
      </c>
      <c r="AT3" s="5" t="s">
        <v>52</v>
      </c>
      <c r="AU3" s="5" t="s">
        <v>50</v>
      </c>
      <c r="AV3" s="5" t="s">
        <v>47</v>
      </c>
      <c r="AW3" s="5" t="s">
        <v>48</v>
      </c>
      <c r="AX3" s="5" t="s">
        <v>49</v>
      </c>
      <c r="AY3" s="5" t="s">
        <v>51</v>
      </c>
      <c r="AZ3" s="5" t="s">
        <v>52</v>
      </c>
      <c r="BA3" s="5" t="s">
        <v>50</v>
      </c>
      <c r="BB3" s="5" t="s">
        <v>47</v>
      </c>
      <c r="BC3" s="5" t="s">
        <v>48</v>
      </c>
      <c r="BD3" s="5" t="s">
        <v>49</v>
      </c>
      <c r="BE3" s="5" t="s">
        <v>51</v>
      </c>
      <c r="BF3" s="5" t="s">
        <v>52</v>
      </c>
      <c r="BG3" s="5" t="s">
        <v>50</v>
      </c>
      <c r="BH3" s="5" t="s">
        <v>47</v>
      </c>
      <c r="BI3" s="5" t="s">
        <v>48</v>
      </c>
      <c r="BJ3" s="5" t="s">
        <v>49</v>
      </c>
      <c r="BK3" s="5" t="s">
        <v>51</v>
      </c>
      <c r="BL3" s="5" t="s">
        <v>52</v>
      </c>
      <c r="BM3" s="5" t="s">
        <v>61</v>
      </c>
      <c r="BN3" s="5" t="s">
        <v>62</v>
      </c>
      <c r="BO3" s="5" t="s">
        <v>63</v>
      </c>
      <c r="BP3" s="5" t="s">
        <v>47</v>
      </c>
      <c r="BQ3" s="5" t="s">
        <v>48</v>
      </c>
      <c r="BR3" s="5" t="s">
        <v>49</v>
      </c>
      <c r="BS3" s="5" t="s">
        <v>51</v>
      </c>
      <c r="BT3" s="5" t="s">
        <v>52</v>
      </c>
    </row>
    <row r="4" spans="1:72" s="12" customFormat="1" x14ac:dyDescent="0.25">
      <c r="A4" s="18">
        <v>1</v>
      </c>
      <c r="B4" s="19">
        <v>2</v>
      </c>
      <c r="C4" s="18">
        <v>3</v>
      </c>
      <c r="D4" s="19">
        <v>4</v>
      </c>
      <c r="E4" s="18">
        <v>5</v>
      </c>
      <c r="F4" s="19">
        <v>6</v>
      </c>
      <c r="G4" s="18">
        <v>7</v>
      </c>
      <c r="H4" s="19">
        <v>8</v>
      </c>
      <c r="I4" s="18">
        <v>9</v>
      </c>
      <c r="J4" s="19">
        <v>10</v>
      </c>
      <c r="K4" s="18">
        <v>11</v>
      </c>
      <c r="L4" s="19">
        <v>12</v>
      </c>
      <c r="M4" s="18">
        <v>13</v>
      </c>
      <c r="N4" s="19">
        <v>14</v>
      </c>
      <c r="O4" s="18">
        <v>15</v>
      </c>
      <c r="P4" s="19">
        <v>16</v>
      </c>
      <c r="Q4" s="18">
        <v>17</v>
      </c>
      <c r="R4" s="19">
        <v>18</v>
      </c>
      <c r="S4" s="18">
        <v>19</v>
      </c>
      <c r="T4" s="19">
        <v>20</v>
      </c>
      <c r="U4" s="18">
        <v>21</v>
      </c>
      <c r="V4" s="19">
        <v>22</v>
      </c>
      <c r="W4" s="18">
        <v>23</v>
      </c>
      <c r="X4" s="19">
        <v>24</v>
      </c>
      <c r="Y4" s="18">
        <v>25</v>
      </c>
      <c r="Z4" s="19">
        <v>26</v>
      </c>
      <c r="AA4" s="18">
        <v>27</v>
      </c>
      <c r="AB4" s="19">
        <v>28</v>
      </c>
      <c r="AC4" s="18">
        <v>29</v>
      </c>
      <c r="AD4" s="19">
        <v>30</v>
      </c>
      <c r="AE4" s="18">
        <v>31</v>
      </c>
      <c r="AF4" s="19">
        <v>32</v>
      </c>
      <c r="AG4" s="18">
        <v>33</v>
      </c>
      <c r="AH4" s="19">
        <v>34</v>
      </c>
      <c r="AI4" s="18">
        <v>35</v>
      </c>
      <c r="AJ4" s="19">
        <v>36</v>
      </c>
      <c r="AK4" s="18">
        <v>37</v>
      </c>
      <c r="AL4" s="19">
        <v>38</v>
      </c>
      <c r="AM4" s="18">
        <v>39</v>
      </c>
      <c r="AN4" s="19">
        <v>40</v>
      </c>
      <c r="AO4" s="18">
        <v>41</v>
      </c>
      <c r="AP4" s="19">
        <v>42</v>
      </c>
      <c r="AQ4" s="18">
        <v>43</v>
      </c>
      <c r="AR4" s="19">
        <v>44</v>
      </c>
      <c r="AS4" s="18">
        <v>45</v>
      </c>
      <c r="AT4" s="19">
        <v>46</v>
      </c>
      <c r="AU4" s="18">
        <v>47</v>
      </c>
      <c r="AV4" s="19">
        <v>48</v>
      </c>
      <c r="AW4" s="18">
        <v>49</v>
      </c>
      <c r="AX4" s="19">
        <v>50</v>
      </c>
      <c r="AY4" s="18">
        <v>51</v>
      </c>
      <c r="AZ4" s="19">
        <v>52</v>
      </c>
      <c r="BA4" s="18">
        <v>53</v>
      </c>
      <c r="BB4" s="19">
        <v>54</v>
      </c>
      <c r="BC4" s="18">
        <v>55</v>
      </c>
      <c r="BD4" s="19">
        <v>56</v>
      </c>
      <c r="BE4" s="18">
        <v>57</v>
      </c>
      <c r="BF4" s="19">
        <v>58</v>
      </c>
      <c r="BG4" s="18">
        <v>59</v>
      </c>
      <c r="BH4" s="19">
        <v>60</v>
      </c>
      <c r="BI4" s="18">
        <v>61</v>
      </c>
      <c r="BJ4" s="19">
        <v>62</v>
      </c>
      <c r="BK4" s="18">
        <v>63</v>
      </c>
      <c r="BL4" s="19">
        <v>64</v>
      </c>
      <c r="BM4" s="18">
        <v>65</v>
      </c>
      <c r="BN4" s="19">
        <v>66</v>
      </c>
      <c r="BO4" s="18">
        <v>67</v>
      </c>
      <c r="BP4" s="19">
        <v>68</v>
      </c>
      <c r="BQ4" s="18">
        <v>69</v>
      </c>
      <c r="BR4" s="19">
        <v>70</v>
      </c>
      <c r="BS4" s="18">
        <v>71</v>
      </c>
      <c r="BT4" s="19">
        <v>72</v>
      </c>
    </row>
    <row r="5" spans="1:72" s="44" customFormat="1" x14ac:dyDescent="0.25">
      <c r="A5" s="2"/>
      <c r="B5" s="41"/>
      <c r="C5" s="41"/>
      <c r="D5" s="2"/>
      <c r="E5" s="45"/>
      <c r="F5" s="45"/>
      <c r="G5" s="46"/>
      <c r="H5" s="45"/>
      <c r="I5" s="2"/>
      <c r="J5" s="2"/>
      <c r="K5" s="45"/>
      <c r="L5" s="45"/>
      <c r="M5" s="46"/>
      <c r="N5" s="45"/>
      <c r="O5" s="2"/>
      <c r="P5" s="2"/>
      <c r="Q5" s="45"/>
      <c r="R5" s="45"/>
      <c r="S5" s="46"/>
      <c r="T5" s="45"/>
      <c r="U5" s="2"/>
      <c r="V5" s="2"/>
      <c r="W5" s="45"/>
      <c r="X5" s="45"/>
      <c r="Y5" s="46"/>
      <c r="Z5" s="45"/>
      <c r="AA5" s="2"/>
      <c r="AB5" s="2"/>
      <c r="AC5" s="45"/>
      <c r="AD5" s="45"/>
      <c r="AE5" s="46"/>
      <c r="AF5" s="45"/>
      <c r="AG5" s="2"/>
      <c r="AH5" s="2"/>
      <c r="AI5" s="45"/>
      <c r="AJ5" s="45"/>
      <c r="AK5" s="46"/>
      <c r="AL5" s="45"/>
      <c r="AM5" s="2"/>
      <c r="AN5" s="2"/>
      <c r="AO5" s="45"/>
      <c r="AP5" s="45"/>
      <c r="AQ5" s="46"/>
      <c r="AR5" s="45"/>
      <c r="AS5" s="2"/>
      <c r="AT5" s="2"/>
      <c r="AU5" s="45"/>
      <c r="AV5" s="45"/>
      <c r="AW5" s="46"/>
      <c r="AX5" s="45"/>
      <c r="AY5" s="2"/>
      <c r="AZ5" s="2"/>
      <c r="BA5" s="45"/>
      <c r="BB5" s="45"/>
      <c r="BC5" s="46"/>
      <c r="BD5" s="45"/>
      <c r="BE5" s="2"/>
      <c r="BF5" s="2"/>
      <c r="BG5" s="45"/>
      <c r="BH5" s="45"/>
      <c r="BI5" s="46"/>
      <c r="BJ5" s="45"/>
      <c r="BK5" s="2"/>
      <c r="BL5" s="2"/>
      <c r="BM5" s="45"/>
      <c r="BN5" s="45"/>
      <c r="BO5" s="45"/>
      <c r="BP5" s="45"/>
      <c r="BQ5" s="45"/>
      <c r="BR5" s="45"/>
      <c r="BS5" s="2"/>
      <c r="BT5" s="2"/>
    </row>
    <row r="6" spans="1:72" s="44" customFormat="1" x14ac:dyDescent="0.25">
      <c r="A6" s="2"/>
      <c r="B6" s="41"/>
      <c r="C6" s="41"/>
      <c r="D6" s="2"/>
      <c r="E6" s="45"/>
      <c r="F6" s="46"/>
      <c r="G6" s="45"/>
      <c r="H6" s="45"/>
      <c r="I6" s="2"/>
      <c r="J6" s="2"/>
      <c r="K6" s="45"/>
      <c r="L6" s="46"/>
      <c r="M6" s="45"/>
      <c r="N6" s="45"/>
      <c r="O6" s="2"/>
      <c r="P6" s="2"/>
      <c r="Q6" s="45"/>
      <c r="R6" s="46"/>
      <c r="S6" s="45"/>
      <c r="T6" s="45"/>
      <c r="U6" s="2"/>
      <c r="V6" s="2"/>
      <c r="W6" s="45"/>
      <c r="X6" s="46"/>
      <c r="Y6" s="45"/>
      <c r="Z6" s="45"/>
      <c r="AA6" s="2"/>
      <c r="AB6" s="2"/>
      <c r="AC6" s="45"/>
      <c r="AD6" s="46"/>
      <c r="AE6" s="45"/>
      <c r="AF6" s="45"/>
      <c r="AG6" s="2"/>
      <c r="AH6" s="2"/>
      <c r="AI6" s="45"/>
      <c r="AJ6" s="46"/>
      <c r="AK6" s="45"/>
      <c r="AL6" s="45"/>
      <c r="AM6" s="2"/>
      <c r="AN6" s="2"/>
      <c r="AO6" s="45"/>
      <c r="AP6" s="46"/>
      <c r="AQ6" s="45"/>
      <c r="AR6" s="45"/>
      <c r="AS6" s="2"/>
      <c r="AT6" s="2"/>
      <c r="AU6" s="45"/>
      <c r="AV6" s="46"/>
      <c r="AW6" s="45"/>
      <c r="AX6" s="45"/>
      <c r="AY6" s="2"/>
      <c r="AZ6" s="2"/>
      <c r="BA6" s="45"/>
      <c r="BB6" s="46"/>
      <c r="BC6" s="45"/>
      <c r="BD6" s="45"/>
      <c r="BE6" s="2"/>
      <c r="BF6" s="2"/>
      <c r="BG6" s="45"/>
      <c r="BH6" s="46"/>
      <c r="BI6" s="45"/>
      <c r="BJ6" s="45"/>
      <c r="BK6" s="2"/>
      <c r="BL6" s="2"/>
      <c r="BM6" s="45"/>
      <c r="BN6" s="45"/>
      <c r="BO6" s="45"/>
      <c r="BP6" s="45"/>
      <c r="BQ6" s="45"/>
      <c r="BR6" s="45"/>
      <c r="BS6" s="2"/>
      <c r="BT6" s="2"/>
    </row>
    <row r="8" spans="1:72" x14ac:dyDescent="0.25">
      <c r="A8" s="19">
        <v>16</v>
      </c>
      <c r="B8" s="18">
        <v>17</v>
      </c>
      <c r="C8" s="19">
        <v>18</v>
      </c>
      <c r="D8" s="18">
        <v>19</v>
      </c>
      <c r="E8" s="19">
        <v>20</v>
      </c>
      <c r="F8" s="18">
        <v>21</v>
      </c>
      <c r="G8" s="19">
        <v>22</v>
      </c>
      <c r="H8" s="18">
        <v>23</v>
      </c>
      <c r="I8" s="19">
        <v>24</v>
      </c>
      <c r="J8" s="18">
        <v>25</v>
      </c>
      <c r="K8" s="19">
        <v>26</v>
      </c>
      <c r="L8" s="18">
        <v>27</v>
      </c>
      <c r="M8" s="19">
        <v>28</v>
      </c>
      <c r="N8" s="18">
        <v>29</v>
      </c>
      <c r="O8" s="19">
        <v>30</v>
      </c>
    </row>
    <row r="9" spans="1:72" x14ac:dyDescent="0.25">
      <c r="A9" s="2"/>
      <c r="B9" s="45"/>
      <c r="C9" s="45"/>
      <c r="D9" s="46"/>
      <c r="E9" s="45"/>
      <c r="F9" s="2"/>
      <c r="G9" s="2"/>
      <c r="H9" s="45"/>
      <c r="I9" s="45"/>
      <c r="J9" s="46"/>
      <c r="K9" s="45"/>
      <c r="L9" s="2"/>
      <c r="M9" s="2"/>
      <c r="N9" s="45"/>
      <c r="O9" s="45"/>
    </row>
    <row r="10" spans="1:72" x14ac:dyDescent="0.25">
      <c r="A10" s="2"/>
      <c r="B10" s="45"/>
      <c r="C10" s="46"/>
      <c r="D10" s="45"/>
      <c r="E10" s="45"/>
      <c r="F10" s="2"/>
      <c r="G10" s="2"/>
      <c r="H10" s="45"/>
      <c r="I10" s="46"/>
      <c r="J10" s="45"/>
      <c r="K10" s="45"/>
      <c r="L10" s="2"/>
      <c r="M10" s="2"/>
      <c r="N10" s="45"/>
      <c r="O10" s="46"/>
    </row>
    <row r="15" spans="1:72" x14ac:dyDescent="0.25">
      <c r="A15" s="18">
        <v>31</v>
      </c>
      <c r="B15" s="19">
        <v>32</v>
      </c>
      <c r="C15" s="18">
        <v>33</v>
      </c>
      <c r="D15" s="19">
        <v>34</v>
      </c>
      <c r="E15" s="18">
        <v>35</v>
      </c>
      <c r="F15" s="19">
        <v>36</v>
      </c>
      <c r="G15" s="18">
        <v>37</v>
      </c>
      <c r="H15" s="19">
        <v>38</v>
      </c>
      <c r="I15" s="18">
        <v>39</v>
      </c>
      <c r="J15" s="19">
        <v>40</v>
      </c>
      <c r="K15" s="18">
        <v>41</v>
      </c>
      <c r="L15" s="19">
        <v>42</v>
      </c>
      <c r="M15" s="18">
        <v>43</v>
      </c>
      <c r="N15" s="19">
        <v>44</v>
      </c>
      <c r="O15" s="18">
        <v>45</v>
      </c>
    </row>
    <row r="16" spans="1:72" x14ac:dyDescent="0.25">
      <c r="A16" s="46"/>
      <c r="B16" s="45"/>
      <c r="C16" s="2"/>
      <c r="D16" s="2"/>
      <c r="E16" s="45"/>
      <c r="F16" s="45"/>
      <c r="G16" s="46"/>
      <c r="H16" s="45"/>
      <c r="I16" s="2"/>
      <c r="J16" s="2"/>
      <c r="K16" s="45"/>
      <c r="L16" s="45"/>
      <c r="M16" s="46"/>
      <c r="N16" s="45"/>
      <c r="O16" s="2"/>
    </row>
    <row r="17" spans="1:15" x14ac:dyDescent="0.25">
      <c r="A17" s="45"/>
      <c r="B17" s="45"/>
      <c r="C17" s="2"/>
      <c r="D17" s="2"/>
      <c r="E17" s="45"/>
      <c r="F17" s="46"/>
      <c r="G17" s="45"/>
      <c r="H17" s="45"/>
      <c r="I17" s="2"/>
      <c r="J17" s="2"/>
      <c r="K17" s="45"/>
      <c r="L17" s="46"/>
      <c r="M17" s="45"/>
      <c r="N17" s="45"/>
      <c r="O17" s="2"/>
    </row>
    <row r="19" spans="1:15" x14ac:dyDescent="0.25">
      <c r="A19" s="19">
        <v>46</v>
      </c>
      <c r="B19" s="18">
        <v>47</v>
      </c>
      <c r="C19" s="19">
        <v>48</v>
      </c>
      <c r="D19" s="18">
        <v>49</v>
      </c>
      <c r="E19" s="19">
        <v>50</v>
      </c>
      <c r="F19" s="18">
        <v>51</v>
      </c>
      <c r="G19" s="19">
        <v>52</v>
      </c>
      <c r="H19" s="18">
        <v>53</v>
      </c>
      <c r="I19" s="19">
        <v>54</v>
      </c>
      <c r="J19" s="18">
        <v>55</v>
      </c>
      <c r="K19" s="19">
        <v>56</v>
      </c>
      <c r="L19" s="18">
        <v>57</v>
      </c>
      <c r="M19" s="19">
        <v>58</v>
      </c>
      <c r="N19" s="18">
        <v>59</v>
      </c>
      <c r="O19" s="19">
        <v>60</v>
      </c>
    </row>
    <row r="20" spans="1:15" x14ac:dyDescent="0.25">
      <c r="A20" s="2"/>
      <c r="B20" s="45"/>
      <c r="C20" s="45"/>
      <c r="D20" s="46"/>
      <c r="E20" s="45"/>
      <c r="F20" s="2"/>
      <c r="G20" s="2"/>
      <c r="H20" s="45"/>
      <c r="I20" s="45"/>
      <c r="J20" s="46"/>
      <c r="K20" s="45"/>
      <c r="L20" s="2"/>
      <c r="M20" s="2"/>
      <c r="N20" s="45"/>
      <c r="O20" s="45"/>
    </row>
    <row r="21" spans="1:15" x14ac:dyDescent="0.25">
      <c r="A21" s="2"/>
      <c r="B21" s="45"/>
      <c r="C21" s="46"/>
      <c r="D21" s="45"/>
      <c r="E21" s="45"/>
      <c r="F21" s="2"/>
      <c r="G21" s="2"/>
      <c r="H21" s="45"/>
      <c r="I21" s="46"/>
      <c r="J21" s="45"/>
      <c r="K21" s="45"/>
      <c r="L21" s="2"/>
      <c r="M21" s="2"/>
      <c r="N21" s="45"/>
      <c r="O21" s="46"/>
    </row>
    <row r="23" spans="1:15" x14ac:dyDescent="0.25">
      <c r="A23" s="18">
        <v>61</v>
      </c>
      <c r="B23" s="19">
        <v>62</v>
      </c>
      <c r="C23" s="18">
        <v>63</v>
      </c>
      <c r="D23" s="19">
        <v>64</v>
      </c>
      <c r="E23" s="18">
        <v>65</v>
      </c>
      <c r="F23" s="19">
        <v>66</v>
      </c>
      <c r="G23" s="18">
        <v>67</v>
      </c>
      <c r="H23" s="19">
        <v>68</v>
      </c>
      <c r="I23" s="18">
        <v>69</v>
      </c>
      <c r="J23" s="19">
        <v>70</v>
      </c>
      <c r="K23" s="18">
        <v>71</v>
      </c>
      <c r="L23" s="19">
        <v>72</v>
      </c>
    </row>
    <row r="24" spans="1:15" x14ac:dyDescent="0.25">
      <c r="A24" s="46"/>
      <c r="B24" s="45"/>
      <c r="C24" s="2"/>
      <c r="D24" s="2"/>
      <c r="E24" s="45"/>
      <c r="F24" s="45"/>
      <c r="G24" s="45"/>
      <c r="H24" s="45"/>
      <c r="I24" s="45"/>
      <c r="J24" s="45"/>
      <c r="K24" s="2"/>
      <c r="L24" s="2"/>
    </row>
    <row r="25" spans="1:15" x14ac:dyDescent="0.25">
      <c r="A25" s="45"/>
      <c r="B25" s="45"/>
      <c r="C25" s="2"/>
      <c r="D25" s="2"/>
      <c r="E25" s="45"/>
      <c r="F25" s="45"/>
      <c r="G25" s="45"/>
      <c r="H25" s="45"/>
      <c r="I25" s="45"/>
      <c r="J25" s="45"/>
      <c r="K25" s="2"/>
      <c r="L25" s="2"/>
    </row>
  </sheetData>
  <mergeCells count="19">
    <mergeCell ref="AU1:AZ1"/>
    <mergeCell ref="BA1:BF1"/>
    <mergeCell ref="BG1:BT1"/>
    <mergeCell ref="E2:J2"/>
    <mergeCell ref="K2:P2"/>
    <mergeCell ref="Q2:V2"/>
    <mergeCell ref="W2:AB2"/>
    <mergeCell ref="AC2:AH2"/>
    <mergeCell ref="AI2:AN2"/>
    <mergeCell ref="AO2:AT2"/>
    <mergeCell ref="AU2:AZ2"/>
    <mergeCell ref="BA2:BF2"/>
    <mergeCell ref="BG2:BL2"/>
    <mergeCell ref="BM2:BT2"/>
    <mergeCell ref="A1:A3"/>
    <mergeCell ref="B1:D1"/>
    <mergeCell ref="E1:V1"/>
    <mergeCell ref="W1:AN1"/>
    <mergeCell ref="AO1:AT1"/>
  </mergeCells>
  <pageMargins left="0" right="0" top="0" bottom="0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Режим</vt:lpstr>
      <vt:lpstr>Панорама</vt:lpstr>
      <vt:lpstr>ПЕР</vt:lpstr>
      <vt:lpstr>Балланс</vt:lpstr>
      <vt:lpstr>Рух газу</vt:lpstr>
      <vt:lpstr>Objects</vt:lpstr>
      <vt:lpstr>Reports</vt:lpstr>
      <vt:lpstr>Лист4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Рекало Александр Борисович</cp:lastModifiedBy>
  <cp:lastPrinted>2021-01-27T08:13:19Z</cp:lastPrinted>
  <dcterms:created xsi:type="dcterms:W3CDTF">2021-01-10T09:33:28Z</dcterms:created>
  <dcterms:modified xsi:type="dcterms:W3CDTF">2021-01-27T15:18:11Z</dcterms:modified>
</cp:coreProperties>
</file>